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visibility="hidden" xWindow="0" yWindow="0" windowWidth="28800" windowHeight="14136"/>
  </bookViews>
  <sheets>
    <sheet name="Bassinbeskrivelse" sheetId="2" r:id="rId1"/>
    <sheet name="Bassindimensionering" sheetId="3" r:id="rId2"/>
    <sheet name="Bassinkurver" sheetId="1" r:id="rId3"/>
  </sheets>
  <functionGroups builtInGroupCount="17"/>
  <definedNames>
    <definedName name="solver_eng" localSheetId="0" hidden="1">1</definedName>
    <definedName name="solver_neg" localSheetId="0" hidden="1">1</definedName>
    <definedName name="solver_num" localSheetId="0" hidden="1">0</definedName>
    <definedName name="solver_opt" localSheetId="0" hidden="1">Bassinbeskrivelse!$B$5</definedName>
    <definedName name="solver_typ" localSheetId="0" hidden="1">1</definedName>
    <definedName name="solver_val" localSheetId="0" hidden="1">0</definedName>
    <definedName name="solver_ver" localSheetId="0" hidden="1">3</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 i="2" l="1"/>
  <c r="J8" i="2"/>
  <c r="B6" i="2" l="1"/>
  <c r="V9" i="1"/>
  <c r="V8" i="1"/>
  <c r="V7" i="1"/>
  <c r="J40" i="2"/>
  <c r="J39" i="2"/>
  <c r="J37" i="2"/>
  <c r="J35" i="2"/>
  <c r="J33" i="2"/>
  <c r="J32" i="2"/>
  <c r="J42" i="2"/>
  <c r="J34" i="2"/>
  <c r="J36" i="2"/>
  <c r="J38" i="2"/>
  <c r="J41" i="2"/>
  <c r="V11" i="1" l="1"/>
  <c r="V13" i="1"/>
  <c r="V10" i="1" l="1"/>
  <c r="V12" i="1" l="1"/>
  <c r="V14" i="1"/>
  <c r="C12" i="2"/>
  <c r="V15" i="1" l="1"/>
  <c r="J16" i="2"/>
  <c r="J31" i="2"/>
  <c r="J7" i="2"/>
  <c r="J18" i="2"/>
  <c r="J13" i="2"/>
  <c r="J21" i="2"/>
  <c r="J30" i="2"/>
  <c r="J5" i="2"/>
  <c r="J24" i="2"/>
  <c r="J23" i="2"/>
  <c r="J26" i="2"/>
  <c r="J29" i="2"/>
  <c r="J28" i="2"/>
  <c r="J12" i="2"/>
  <c r="J27" i="2"/>
  <c r="J14" i="2"/>
  <c r="J17" i="2"/>
  <c r="J19" i="2"/>
  <c r="J10" i="2"/>
  <c r="J20" i="2"/>
  <c r="J11" i="2"/>
  <c r="J15" i="2"/>
  <c r="J22" i="2"/>
  <c r="J6" i="2"/>
  <c r="J25" i="2"/>
  <c r="J9" i="2"/>
</calcChain>
</file>

<file path=xl/sharedStrings.xml><?xml version="1.0" encoding="utf-8"?>
<sst xmlns="http://schemas.openxmlformats.org/spreadsheetml/2006/main" count="56" uniqueCount="45">
  <si>
    <t>Udløbstal</t>
  </si>
  <si>
    <t>x1</t>
  </si>
  <si>
    <t>x2</t>
  </si>
  <si>
    <t>y1</t>
  </si>
  <si>
    <t>y2</t>
  </si>
  <si>
    <t>z12</t>
  </si>
  <si>
    <t>z</t>
  </si>
  <si>
    <t>z11</t>
  </si>
  <si>
    <t>z21</t>
  </si>
  <si>
    <t>z22</t>
  </si>
  <si>
    <t>Gentagelsesperiode</t>
  </si>
  <si>
    <t>Udløbstal [L/s/red. ha]</t>
  </si>
  <si>
    <t>Gentagelsesperiode [år]</t>
  </si>
  <si>
    <t>Volume [m^3]</t>
  </si>
  <si>
    <t>Trykkote [m]</t>
  </si>
  <si>
    <t>Gentagelsesperiode \ Udløbstal</t>
  </si>
  <si>
    <t>Skal udfyldes/redigeres</t>
  </si>
  <si>
    <t>Mellemresultater</t>
  </si>
  <si>
    <t>Iterativt tal - bør ikke ændres,</t>
  </si>
  <si>
    <t>og ikke pålidelig</t>
  </si>
  <si>
    <t>Resultater</t>
  </si>
  <si>
    <t>Af ENI</t>
  </si>
  <si>
    <t>m</t>
  </si>
  <si>
    <t>Bassin:</t>
  </si>
  <si>
    <t>Bassingeometri:</t>
  </si>
  <si>
    <t>Kote [m]</t>
  </si>
  <si>
    <t>Overfladeareal, A_s [m^2]</t>
  </si>
  <si>
    <t>Oplandsareal</t>
  </si>
  <si>
    <t>L/s</t>
  </si>
  <si>
    <t>.</t>
  </si>
  <si>
    <t>Udløbskote</t>
  </si>
  <si>
    <t>Udløbsvandføring</t>
  </si>
  <si>
    <t>Hvis felt er tomt, antages der udløbskote = bassinbundkote</t>
  </si>
  <si>
    <t>red. ha</t>
  </si>
  <si>
    <t>L/s/red. ha</t>
  </si>
  <si>
    <t>Reduceret areal bør være befæstet areal*reduktionsfaktor*sikkerhedsfaktor</t>
  </si>
  <si>
    <t>Tryk på "Beregn!" for at beregne.</t>
  </si>
  <si>
    <t>Ekstra: Bassindimensionering</t>
  </si>
  <si>
    <t>år</t>
  </si>
  <si>
    <t>Funktionskrav:</t>
  </si>
  <si>
    <t>Bassinvolume</t>
  </si>
  <si>
    <t>m^3</t>
  </si>
  <si>
    <t>Beregning af trykkote ift. Gentagelsesperiode</t>
  </si>
  <si>
    <t>Beregner vandspejlsdybden i et bassin i forhold til gentagelsesperioden. 
Den anvender bassinkurverne udviklet på baggrund af regnmåleren v. Silkeborg Vandværk, som strækker fra 1979 til år 2018. Den kan således ikke estimere en vandspejlskote til gentagelsesperioder over 39 år. 
Den antager ingen koncentrationstid til bassinet. Der antages samtidig en konstant udløbsvandføring.</t>
  </si>
  <si>
    <t>Dimensionering af bassin igennem bassinkurver.
Tager udgangspunkt i oplandsinformationer fra Hovedark.
Antager ingen koncentrationstid og bruger regnmåler fra Silkeborg Vandværk.
Dataserie rækker fra 1979-2018, ca. 39 år. 
Den antager konstant udløbsvandføring.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</si>
</sst>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8" x14ac:knownFonts="1">
    <font>
      <sz val="11"/>
      <color theme="1"/>
      <name val="Calibri"/>
      <family val="2"/>
      <scheme val="minor"/>
    </font>
    <font>
      <i/>
      <sz val="11"/>
      <color theme="1"/>
      <name val="Calibri"/>
      <family val="2"/>
      <scheme val="minor"/>
    </font>
    <font>
      <b/>
      <sz val="11"/>
      <color theme="1"/>
      <name val="Calibri"/>
      <family val="2"/>
      <scheme val="minor"/>
    </font>
    <font>
      <b/>
      <sz val="10"/>
      <color theme="1"/>
      <name val="Trebuchet MS"/>
      <family val="2"/>
    </font>
    <font>
      <b/>
      <sz val="16"/>
      <color theme="1"/>
      <name val="Trebuchet MS"/>
      <family val="2"/>
    </font>
    <font>
      <b/>
      <sz val="12"/>
      <color theme="1"/>
      <name val="Trebuchet MS"/>
      <family val="2"/>
    </font>
    <font>
      <b/>
      <sz val="24"/>
      <color rgb="FF000000"/>
      <name val="Calibri"/>
      <family val="2"/>
    </font>
    <font>
      <sz val="10"/>
      <name val="Arial"/>
      <family val="2"/>
    </font>
  </fonts>
  <fills count="6">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00B050"/>
        <bgColor indexed="64"/>
      </patternFill>
    </fill>
  </fills>
  <borders count="1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s>
  <cellStyleXfs count="2">
    <xf numFmtId="0" fontId="0" fillId="0" borderId="0"/>
    <xf numFmtId="0" fontId="7" fillId="0" borderId="0"/>
  </cellStyleXfs>
  <cellXfs count="57">
    <xf numFmtId="0" fontId="0" fillId="0" borderId="0" xfId="0"/>
    <xf numFmtId="164" fontId="0" fillId="0" borderId="0" xfId="0" applyNumberFormat="1"/>
    <xf numFmtId="1" fontId="0" fillId="0" borderId="0" xfId="0" applyNumberFormat="1"/>
    <xf numFmtId="0" fontId="1" fillId="0" borderId="0" xfId="0" applyFont="1"/>
    <xf numFmtId="0" fontId="0" fillId="0" borderId="0" xfId="0" applyBorder="1"/>
    <xf numFmtId="0" fontId="0" fillId="0" borderId="10" xfId="0" applyBorder="1"/>
    <xf numFmtId="0" fontId="0" fillId="0" borderId="11" xfId="0" applyBorder="1"/>
    <xf numFmtId="0" fontId="0" fillId="0" borderId="12" xfId="0" applyBorder="1"/>
    <xf numFmtId="0" fontId="3" fillId="2" borderId="13" xfId="0" applyFont="1" applyFill="1" applyBorder="1"/>
    <xf numFmtId="0" fontId="3" fillId="3" borderId="14" xfId="0" applyFont="1" applyFill="1" applyBorder="1"/>
    <xf numFmtId="0" fontId="3" fillId="4" borderId="14" xfId="0" applyFont="1" applyFill="1" applyBorder="1"/>
    <xf numFmtId="0" fontId="3" fillId="5" borderId="15" xfId="0" applyFont="1" applyFill="1" applyBorder="1"/>
    <xf numFmtId="0" fontId="3" fillId="4" borderId="4" xfId="0" applyFont="1" applyFill="1" applyBorder="1"/>
    <xf numFmtId="0" fontId="3" fillId="4" borderId="9" xfId="0" applyFont="1" applyFill="1" applyBorder="1"/>
    <xf numFmtId="0" fontId="3" fillId="4" borderId="2" xfId="0" applyFont="1" applyFill="1" applyBorder="1"/>
    <xf numFmtId="0" fontId="3" fillId="4" borderId="5" xfId="0" applyFont="1" applyFill="1" applyBorder="1"/>
    <xf numFmtId="0" fontId="3" fillId="4" borderId="7" xfId="0" applyFont="1" applyFill="1" applyBorder="1"/>
    <xf numFmtId="2" fontId="0" fillId="0" borderId="13" xfId="0" applyNumberFormat="1" applyBorder="1"/>
    <xf numFmtId="2" fontId="0" fillId="0" borderId="14" xfId="0" applyNumberFormat="1" applyBorder="1"/>
    <xf numFmtId="2" fontId="0" fillId="0" borderId="15" xfId="0" applyNumberFormat="1" applyBorder="1"/>
    <xf numFmtId="164" fontId="0" fillId="0" borderId="2" xfId="0" applyNumberFormat="1" applyBorder="1"/>
    <xf numFmtId="164" fontId="0" fillId="0" borderId="3" xfId="0" applyNumberFormat="1" applyBorder="1"/>
    <xf numFmtId="164" fontId="0" fillId="0" borderId="4" xfId="0" applyNumberFormat="1" applyBorder="1"/>
    <xf numFmtId="164" fontId="0" fillId="0" borderId="5" xfId="0" applyNumberFormat="1" applyBorder="1"/>
    <xf numFmtId="164" fontId="0" fillId="0" borderId="0" xfId="0" applyNumberFormat="1" applyBorder="1"/>
    <xf numFmtId="164" fontId="0" fillId="0" borderId="6" xfId="0" applyNumberFormat="1" applyBorder="1"/>
    <xf numFmtId="164" fontId="0" fillId="0" borderId="7" xfId="0" applyNumberFormat="1" applyBorder="1"/>
    <xf numFmtId="164" fontId="0" fillId="0" borderId="8" xfId="0" applyNumberFormat="1" applyBorder="1"/>
    <xf numFmtId="164" fontId="0" fillId="0" borderId="9" xfId="0" applyNumberFormat="1" applyBorder="1"/>
    <xf numFmtId="164" fontId="3" fillId="4" borderId="4" xfId="0" applyNumberFormat="1" applyFont="1" applyFill="1" applyBorder="1"/>
    <xf numFmtId="164" fontId="3" fillId="4" borderId="6" xfId="0" applyNumberFormat="1" applyFont="1" applyFill="1" applyBorder="1"/>
    <xf numFmtId="164" fontId="3" fillId="4" borderId="9" xfId="0" applyNumberFormat="1" applyFont="1" applyFill="1" applyBorder="1"/>
    <xf numFmtId="0" fontId="4" fillId="0" borderId="0" xfId="0" applyFont="1"/>
    <xf numFmtId="0" fontId="3" fillId="0" borderId="0" xfId="0" applyFont="1"/>
    <xf numFmtId="0" fontId="0" fillId="2" borderId="0" xfId="0" applyFill="1" applyBorder="1"/>
    <xf numFmtId="0" fontId="0" fillId="2" borderId="6" xfId="0" applyFill="1" applyBorder="1"/>
    <xf numFmtId="0" fontId="1" fillId="0" borderId="0" xfId="0" applyFont="1" applyAlignment="1">
      <alignment wrapText="1"/>
    </xf>
    <xf numFmtId="0" fontId="0" fillId="5" borderId="1" xfId="0" applyFill="1" applyBorder="1"/>
    <xf numFmtId="0" fontId="0" fillId="5" borderId="6" xfId="0" applyFill="1" applyBorder="1"/>
    <xf numFmtId="0" fontId="0" fillId="2" borderId="8" xfId="0" applyFill="1" applyBorder="1"/>
    <xf numFmtId="0" fontId="2" fillId="0" borderId="10" xfId="0" applyFont="1" applyBorder="1"/>
    <xf numFmtId="0" fontId="0" fillId="2" borderId="11" xfId="0" applyFill="1" applyBorder="1"/>
    <xf numFmtId="0" fontId="0" fillId="5" borderId="12" xfId="0" applyFill="1" applyBorder="1"/>
    <xf numFmtId="0" fontId="0" fillId="2" borderId="9" xfId="0" applyFill="1" applyBorder="1"/>
    <xf numFmtId="0" fontId="0" fillId="5" borderId="0" xfId="0" applyFill="1" applyBorder="1"/>
    <xf numFmtId="0" fontId="5" fillId="0" borderId="0" xfId="0" applyFont="1" applyAlignment="1">
      <alignment wrapText="1"/>
    </xf>
    <xf numFmtId="0" fontId="0" fillId="2" borderId="10" xfId="0" applyFill="1" applyBorder="1" applyAlignment="1">
      <alignment horizontal="right"/>
    </xf>
    <xf numFmtId="0" fontId="0" fillId="2" borderId="5" xfId="0" applyFill="1" applyBorder="1" applyAlignment="1">
      <alignment horizontal="right"/>
    </xf>
    <xf numFmtId="0" fontId="0" fillId="5" borderId="5" xfId="0" applyFill="1" applyBorder="1" applyAlignment="1">
      <alignment horizontal="right"/>
    </xf>
    <xf numFmtId="0" fontId="0" fillId="2" borderId="7" xfId="0" applyFill="1" applyBorder="1" applyAlignment="1">
      <alignment horizontal="right"/>
    </xf>
    <xf numFmtId="0" fontId="3" fillId="0" borderId="15" xfId="0" applyFont="1" applyBorder="1"/>
    <xf numFmtId="0" fontId="0" fillId="0" borderId="16" xfId="0" applyBorder="1"/>
    <xf numFmtId="0" fontId="5" fillId="0" borderId="0" xfId="0" applyFont="1" applyAlignment="1">
      <alignment vertical="top" wrapText="1"/>
    </xf>
    <xf numFmtId="0" fontId="0" fillId="2" borderId="12" xfId="0" applyFill="1" applyBorder="1"/>
    <xf numFmtId="0" fontId="0" fillId="2" borderId="0" xfId="0" applyFill="1"/>
    <xf numFmtId="1" fontId="0" fillId="2" borderId="11" xfId="0" applyNumberFormat="1" applyFill="1" applyBorder="1"/>
    <xf numFmtId="0" fontId="0" fillId="0" borderId="0" xfId="0" applyFont="1"/>
  </cellXfs>
  <cellStyles count="2">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8</xdr:row>
          <xdr:rowOff>7620</xdr:rowOff>
        </xdr:from>
        <xdr:to>
          <xdr:col>5</xdr:col>
          <xdr:colOff>0</xdr:colOff>
          <xdr:row>10</xdr:row>
          <xdr:rowOff>45720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da-DK" sz="2400" b="1" i="0" u="none" strike="noStrike" baseline="0">
                  <a:solidFill>
                    <a:srgbClr val="000000"/>
                  </a:solidFill>
                  <a:latin typeface="Calibri"/>
                </a:rPr>
                <a:t>Beregn!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8</xdr:row>
          <xdr:rowOff>7620</xdr:rowOff>
        </xdr:from>
        <xdr:to>
          <xdr:col>5</xdr:col>
          <xdr:colOff>0</xdr:colOff>
          <xdr:row>10</xdr:row>
          <xdr:rowOff>45720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da-DK" sz="2400" b="1" i="0" u="none" strike="noStrike" baseline="0">
                  <a:solidFill>
                    <a:srgbClr val="000000"/>
                  </a:solidFill>
                  <a:latin typeface="Calibri"/>
                </a:rPr>
                <a:t>Beregn!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413"/>
  <sheetViews>
    <sheetView tabSelected="1" zoomScale="70" zoomScaleNormal="70" workbookViewId="0">
      <selection activeCell="C11" sqref="C11"/>
    </sheetView>
  </sheetViews>
  <sheetFormatPr defaultRowHeight="14.4" x14ac:dyDescent="0.3"/>
  <cols>
    <col min="1" max="1" width="66.77734375" customWidth="1"/>
    <col min="2" max="3" width="22.77734375" customWidth="1"/>
    <col min="4" max="4" width="65.77734375" customWidth="1"/>
    <col min="5" max="5" width="34.77734375" customWidth="1"/>
    <col min="6" max="7" width="5.77734375" customWidth="1"/>
    <col min="8" max="8" width="21.77734375" customWidth="1"/>
    <col min="9" max="10" width="20.77734375" customWidth="1"/>
    <col min="11" max="11" width="12.33203125" bestFit="1" customWidth="1"/>
  </cols>
  <sheetData>
    <row r="1" spans="1:10" ht="22.2" x14ac:dyDescent="0.45">
      <c r="A1" s="32" t="s">
        <v>42</v>
      </c>
      <c r="D1" s="33" t="s">
        <v>21</v>
      </c>
      <c r="G1" s="51"/>
      <c r="H1" s="32" t="s">
        <v>20</v>
      </c>
    </row>
    <row r="2" spans="1:10" ht="130.05000000000001" customHeight="1" thickBot="1" x14ac:dyDescent="0.4">
      <c r="A2" s="45" t="s">
        <v>43</v>
      </c>
      <c r="G2" s="51"/>
    </row>
    <row r="3" spans="1:10" ht="15.6" thickBot="1" x14ac:dyDescent="0.4">
      <c r="A3" s="40" t="s">
        <v>23</v>
      </c>
      <c r="B3" s="6" t="s">
        <v>29</v>
      </c>
      <c r="C3" s="7"/>
      <c r="E3" s="8" t="s">
        <v>16</v>
      </c>
      <c r="G3" s="51"/>
    </row>
    <row r="4" spans="1:10" ht="15.6" thickBot="1" x14ac:dyDescent="0.4">
      <c r="A4" s="47" t="s">
        <v>27</v>
      </c>
      <c r="B4" s="54">
        <v>8</v>
      </c>
      <c r="C4" s="35" t="s">
        <v>33</v>
      </c>
      <c r="D4" s="3" t="s">
        <v>35</v>
      </c>
      <c r="E4" s="9" t="s">
        <v>17</v>
      </c>
      <c r="G4" s="4"/>
      <c r="H4" s="37" t="s">
        <v>12</v>
      </c>
      <c r="I4" s="37" t="s">
        <v>13</v>
      </c>
      <c r="J4" s="42" t="s">
        <v>14</v>
      </c>
    </row>
    <row r="5" spans="1:10" ht="15" x14ac:dyDescent="0.35">
      <c r="A5" s="47" t="s">
        <v>31</v>
      </c>
      <c r="B5" s="34">
        <v>20.399999999999999</v>
      </c>
      <c r="C5" s="35" t="s">
        <v>28</v>
      </c>
      <c r="E5" s="10" t="s">
        <v>18</v>
      </c>
      <c r="G5" s="51"/>
      <c r="H5">
        <v>1</v>
      </c>
      <c r="I5" s="2">
        <v>1410.1829769544181</v>
      </c>
      <c r="J5" s="1" t="e">
        <f>Linterp2(I5)-$A$11</f>
        <v>#VALUE!</v>
      </c>
    </row>
    <row r="6" spans="1:10" ht="15" x14ac:dyDescent="0.35">
      <c r="A6" s="48" t="s">
        <v>0</v>
      </c>
      <c r="B6" s="44">
        <f>B5/B4</f>
        <v>2.5499999999999998</v>
      </c>
      <c r="C6" s="38" t="s">
        <v>34</v>
      </c>
      <c r="E6" s="10" t="s">
        <v>19</v>
      </c>
      <c r="G6" s="51"/>
      <c r="H6">
        <v>2</v>
      </c>
      <c r="I6" s="2">
        <v>1882.6893836489239</v>
      </c>
      <c r="J6" s="1" t="e">
        <f t="shared" ref="J6:J42" si="0">Linterp2(I6)-$A$11</f>
        <v>#VALUE!</v>
      </c>
    </row>
    <row r="7" spans="1:10" ht="15" customHeight="1" thickBot="1" x14ac:dyDescent="0.4">
      <c r="A7" s="49" t="s">
        <v>30</v>
      </c>
      <c r="B7" s="39"/>
      <c r="C7" s="43" t="s">
        <v>22</v>
      </c>
      <c r="D7" s="36" t="s">
        <v>32</v>
      </c>
      <c r="E7" s="11" t="s">
        <v>20</v>
      </c>
      <c r="G7" s="51"/>
      <c r="H7">
        <v>3</v>
      </c>
      <c r="I7" s="2">
        <v>2092.1913505844245</v>
      </c>
      <c r="J7" s="1" t="e">
        <f t="shared" si="0"/>
        <v>#VALUE!</v>
      </c>
    </row>
    <row r="8" spans="1:10" ht="15.6" thickBot="1" x14ac:dyDescent="0.4">
      <c r="D8" s="36"/>
      <c r="E8" s="50" t="s">
        <v>36</v>
      </c>
      <c r="G8" s="51"/>
      <c r="H8">
        <v>4</v>
      </c>
      <c r="I8" s="2">
        <v>2223.6183633176929</v>
      </c>
      <c r="J8" s="1" t="e">
        <f>Linterp2(I8)-$A$11</f>
        <v>#VALUE!</v>
      </c>
    </row>
    <row r="9" spans="1:10" ht="15" thickBot="1" x14ac:dyDescent="0.35">
      <c r="A9" s="40" t="s">
        <v>24</v>
      </c>
      <c r="B9" s="6"/>
      <c r="C9" s="7"/>
      <c r="G9" s="51"/>
      <c r="H9">
        <v>6</v>
      </c>
      <c r="I9" s="2">
        <v>2635.2266946016834</v>
      </c>
      <c r="J9" s="1" t="e">
        <f t="shared" si="0"/>
        <v>#VALUE!</v>
      </c>
    </row>
    <row r="10" spans="1:10" ht="15" thickBot="1" x14ac:dyDescent="0.35">
      <c r="A10" s="46" t="s">
        <v>25</v>
      </c>
      <c r="B10" s="41" t="s">
        <v>26</v>
      </c>
      <c r="C10" s="42" t="s">
        <v>13</v>
      </c>
      <c r="G10" s="51"/>
      <c r="H10">
        <v>7</v>
      </c>
      <c r="I10" s="2">
        <v>2702.4457682790239</v>
      </c>
      <c r="J10" s="1" t="e">
        <f t="shared" si="0"/>
        <v>#VALUE!</v>
      </c>
    </row>
    <row r="11" spans="1:10" x14ac:dyDescent="0.3">
      <c r="A11" s="34">
        <v>59.22</v>
      </c>
      <c r="B11" s="34">
        <v>6401</v>
      </c>
      <c r="C11" s="44">
        <v>0</v>
      </c>
      <c r="G11" s="51"/>
      <c r="H11">
        <v>8</v>
      </c>
      <c r="I11" s="2">
        <v>2757.6134240438519</v>
      </c>
      <c r="J11" s="1" t="e">
        <f t="shared" si="0"/>
        <v>#VALUE!</v>
      </c>
    </row>
    <row r="12" spans="1:10" x14ac:dyDescent="0.3">
      <c r="A12" s="34">
        <v>60.2</v>
      </c>
      <c r="B12" s="34">
        <v>9454</v>
      </c>
      <c r="C12" s="44">
        <f>IF(A12="","",AVERAGE(B11:B12)*(A12-A11)+C11)</f>
        <v>7768.9500000000317</v>
      </c>
      <c r="G12" s="51"/>
      <c r="H12">
        <v>9</v>
      </c>
      <c r="I12" s="2">
        <v>2770.4800020597822</v>
      </c>
      <c r="J12" s="1" t="e">
        <f t="shared" si="0"/>
        <v>#VALUE!</v>
      </c>
    </row>
    <row r="13" spans="1:10" x14ac:dyDescent="0.3">
      <c r="A13" s="34">
        <v>60.8</v>
      </c>
      <c r="B13" s="34">
        <v>9454</v>
      </c>
      <c r="C13" s="44">
        <f>IF(A13="","",AVERAGE(B12:B13)*(A13-A12)+C12)</f>
        <v>13441.349999999977</v>
      </c>
      <c r="G13" s="51"/>
      <c r="H13">
        <v>10</v>
      </c>
      <c r="I13" s="2">
        <v>2819.5086809182312</v>
      </c>
      <c r="J13" s="1" t="e">
        <f t="shared" si="0"/>
        <v>#VALUE!</v>
      </c>
    </row>
    <row r="14" spans="1:10" x14ac:dyDescent="0.3">
      <c r="A14" s="34"/>
      <c r="B14" s="34"/>
      <c r="C14" s="44"/>
      <c r="G14" s="51"/>
      <c r="H14">
        <v>11</v>
      </c>
      <c r="I14" s="2">
        <v>2993.0957088657779</v>
      </c>
      <c r="J14" s="1" t="e">
        <f t="shared" si="0"/>
        <v>#VALUE!</v>
      </c>
    </row>
    <row r="15" spans="1:10" x14ac:dyDescent="0.3">
      <c r="A15" s="4"/>
      <c r="B15" s="4"/>
      <c r="C15" s="4"/>
      <c r="G15" s="51"/>
      <c r="H15">
        <v>12</v>
      </c>
      <c r="I15" s="2">
        <v>3166.6827372472926</v>
      </c>
      <c r="J15" s="1" t="e">
        <f t="shared" si="0"/>
        <v>#VALUE!</v>
      </c>
    </row>
    <row r="16" spans="1:10" x14ac:dyDescent="0.3">
      <c r="A16" s="4"/>
      <c r="B16" s="4"/>
      <c r="C16" s="4"/>
      <c r="G16" s="51"/>
      <c r="H16">
        <v>13</v>
      </c>
      <c r="I16" s="2">
        <v>3340.1228695141913</v>
      </c>
      <c r="J16" s="1" t="e">
        <f t="shared" si="0"/>
        <v>#VALUE!</v>
      </c>
    </row>
    <row r="17" spans="1:10" x14ac:dyDescent="0.3">
      <c r="A17" s="4"/>
      <c r="B17" s="4"/>
      <c r="C17" s="4"/>
      <c r="G17" s="51"/>
      <c r="H17">
        <v>14</v>
      </c>
      <c r="I17" s="2">
        <v>3503.3235193495175</v>
      </c>
      <c r="J17" s="1" t="e">
        <f t="shared" si="0"/>
        <v>#VALUE!</v>
      </c>
    </row>
    <row r="18" spans="1:10" x14ac:dyDescent="0.3">
      <c r="G18" s="51"/>
      <c r="H18">
        <v>15</v>
      </c>
      <c r="I18" s="2">
        <v>3666.0140564941839</v>
      </c>
      <c r="J18" s="1" t="e">
        <f t="shared" si="0"/>
        <v>#VALUE!</v>
      </c>
    </row>
    <row r="19" spans="1:10" x14ac:dyDescent="0.3">
      <c r="G19" s="51"/>
      <c r="H19">
        <v>16</v>
      </c>
      <c r="I19" s="2">
        <v>3828.7045930694285</v>
      </c>
      <c r="J19" s="1" t="e">
        <f t="shared" si="0"/>
        <v>#VALUE!</v>
      </c>
    </row>
    <row r="20" spans="1:10" x14ac:dyDescent="0.3">
      <c r="G20" s="51"/>
      <c r="H20">
        <v>17</v>
      </c>
      <c r="I20" s="2">
        <v>3991.3951297666931</v>
      </c>
      <c r="J20" s="1" t="e">
        <f t="shared" si="0"/>
        <v>#VALUE!</v>
      </c>
    </row>
    <row r="21" spans="1:10" x14ac:dyDescent="0.3">
      <c r="G21" s="51"/>
      <c r="H21">
        <v>18</v>
      </c>
      <c r="I21" s="2">
        <v>4154.0856678468263</v>
      </c>
      <c r="J21" s="1" t="e">
        <f t="shared" si="0"/>
        <v>#VALUE!</v>
      </c>
    </row>
    <row r="22" spans="1:10" x14ac:dyDescent="0.3">
      <c r="G22" s="51"/>
      <c r="H22">
        <v>19</v>
      </c>
      <c r="I22" s="2">
        <v>4316.7762044627498</v>
      </c>
      <c r="J22" s="1" t="e">
        <f t="shared" si="0"/>
        <v>#VALUE!</v>
      </c>
    </row>
    <row r="23" spans="1:10" x14ac:dyDescent="0.3">
      <c r="G23" s="51"/>
      <c r="H23">
        <v>20</v>
      </c>
      <c r="I23" s="2">
        <v>4446.587459344827</v>
      </c>
      <c r="J23" s="1" t="e">
        <f t="shared" si="0"/>
        <v>#VALUE!</v>
      </c>
    </row>
    <row r="24" spans="1:10" x14ac:dyDescent="0.3">
      <c r="G24" s="51"/>
      <c r="H24">
        <v>21</v>
      </c>
      <c r="I24" s="2">
        <v>4536.2129244367061</v>
      </c>
      <c r="J24" s="1" t="e">
        <f t="shared" si="0"/>
        <v>#VALUE!</v>
      </c>
    </row>
    <row r="25" spans="1:10" x14ac:dyDescent="0.3">
      <c r="G25" s="51"/>
      <c r="H25">
        <v>22</v>
      </c>
      <c r="I25" s="2">
        <v>4625.8383891252688</v>
      </c>
      <c r="J25" s="1" t="e">
        <f t="shared" si="0"/>
        <v>#VALUE!</v>
      </c>
    </row>
    <row r="26" spans="1:10" x14ac:dyDescent="0.3">
      <c r="G26" s="51"/>
      <c r="H26">
        <v>23</v>
      </c>
      <c r="I26" s="2">
        <v>4715.4638546204624</v>
      </c>
      <c r="J26" s="1" t="e">
        <f t="shared" si="0"/>
        <v>#VALUE!</v>
      </c>
    </row>
    <row r="27" spans="1:10" x14ac:dyDescent="0.3">
      <c r="G27" s="51"/>
      <c r="H27">
        <v>24</v>
      </c>
      <c r="I27" s="2">
        <v>4805.0893193538368</v>
      </c>
      <c r="J27" s="1" t="e">
        <f t="shared" si="0"/>
        <v>#VALUE!</v>
      </c>
    </row>
    <row r="28" spans="1:10" x14ac:dyDescent="0.3">
      <c r="G28" s="51"/>
      <c r="H28">
        <v>25</v>
      </c>
      <c r="I28" s="2">
        <v>4894.7147840199959</v>
      </c>
      <c r="J28" s="1" t="e">
        <f t="shared" si="0"/>
        <v>#VALUE!</v>
      </c>
    </row>
    <row r="29" spans="1:10" x14ac:dyDescent="0.3">
      <c r="G29" s="51"/>
      <c r="H29">
        <v>26</v>
      </c>
      <c r="I29" s="2">
        <v>4984.3402489998443</v>
      </c>
      <c r="J29" s="1" t="e">
        <f t="shared" si="0"/>
        <v>#VALUE!</v>
      </c>
    </row>
    <row r="30" spans="1:10" x14ac:dyDescent="0.3">
      <c r="G30" s="51"/>
      <c r="H30">
        <v>27</v>
      </c>
      <c r="I30" s="2">
        <v>5073.9657140917243</v>
      </c>
      <c r="J30" s="1" t="e">
        <f t="shared" si="0"/>
        <v>#VALUE!</v>
      </c>
    </row>
    <row r="31" spans="1:10" x14ac:dyDescent="0.3">
      <c r="G31" s="51"/>
      <c r="H31">
        <v>28</v>
      </c>
      <c r="I31" s="2">
        <v>5163.5911791836024</v>
      </c>
      <c r="J31" s="1" t="e">
        <f t="shared" si="0"/>
        <v>#VALUE!</v>
      </c>
    </row>
    <row r="32" spans="1:10" x14ac:dyDescent="0.3">
      <c r="G32" s="51"/>
      <c r="H32">
        <v>29</v>
      </c>
      <c r="I32" s="2">
        <v>5253.2166442754806</v>
      </c>
      <c r="J32" s="1" t="e">
        <f t="shared" si="0"/>
        <v>#VALUE!</v>
      </c>
    </row>
    <row r="33" spans="7:10" x14ac:dyDescent="0.3">
      <c r="G33" s="51"/>
      <c r="H33">
        <v>30</v>
      </c>
      <c r="I33" s="2">
        <v>5342.8421091432956</v>
      </c>
      <c r="J33" s="1" t="e">
        <f t="shared" si="0"/>
        <v>#VALUE!</v>
      </c>
    </row>
    <row r="34" spans="7:10" x14ac:dyDescent="0.3">
      <c r="G34" s="51"/>
      <c r="H34">
        <v>31</v>
      </c>
      <c r="I34" s="2">
        <v>5432.467573809452</v>
      </c>
      <c r="J34" s="1" t="e">
        <f t="shared" si="0"/>
        <v>#VALUE!</v>
      </c>
    </row>
    <row r="35" spans="7:10" x14ac:dyDescent="0.3">
      <c r="G35" s="51"/>
      <c r="H35">
        <v>32</v>
      </c>
      <c r="I35" s="2">
        <v>5522.0930386548616</v>
      </c>
      <c r="J35" s="1" t="e">
        <f t="shared" si="0"/>
        <v>#VALUE!</v>
      </c>
    </row>
    <row r="36" spans="7:10" x14ac:dyDescent="0.3">
      <c r="G36" s="51"/>
      <c r="H36">
        <v>33</v>
      </c>
      <c r="I36" s="2">
        <v>5611.7185037467407</v>
      </c>
      <c r="J36" s="1" t="e">
        <f t="shared" si="0"/>
        <v>#VALUE!</v>
      </c>
    </row>
    <row r="37" spans="7:10" x14ac:dyDescent="0.3">
      <c r="G37" s="51"/>
      <c r="H37">
        <v>34</v>
      </c>
      <c r="I37" s="2">
        <v>5701.343968838617</v>
      </c>
      <c r="J37" s="1" t="e">
        <f t="shared" si="0"/>
        <v>#VALUE!</v>
      </c>
    </row>
    <row r="38" spans="7:10" x14ac:dyDescent="0.3">
      <c r="G38" s="51"/>
      <c r="H38">
        <v>35</v>
      </c>
      <c r="I38" s="2">
        <v>5790.9694339304961</v>
      </c>
      <c r="J38" s="1" t="e">
        <f t="shared" si="0"/>
        <v>#VALUE!</v>
      </c>
    </row>
    <row r="39" spans="7:10" x14ac:dyDescent="0.3">
      <c r="G39" s="51"/>
      <c r="H39">
        <v>36</v>
      </c>
      <c r="I39" s="2">
        <v>5880.5948989327489</v>
      </c>
      <c r="J39" s="1" t="e">
        <f t="shared" si="0"/>
        <v>#VALUE!</v>
      </c>
    </row>
    <row r="40" spans="7:10" x14ac:dyDescent="0.3">
      <c r="G40" s="51"/>
      <c r="H40">
        <v>37</v>
      </c>
      <c r="I40" s="2">
        <v>5970.2203635989063</v>
      </c>
      <c r="J40" s="1" t="e">
        <f t="shared" si="0"/>
        <v>#VALUE!</v>
      </c>
    </row>
    <row r="41" spans="7:10" x14ac:dyDescent="0.3">
      <c r="G41" s="51"/>
      <c r="H41">
        <v>38</v>
      </c>
      <c r="I41" s="2">
        <v>6059.8458283098762</v>
      </c>
      <c r="J41" s="1" t="e">
        <f t="shared" si="0"/>
        <v>#VALUE!</v>
      </c>
    </row>
    <row r="42" spans="7:10" x14ac:dyDescent="0.3">
      <c r="G42" s="51"/>
      <c r="H42">
        <v>39</v>
      </c>
      <c r="I42" s="2">
        <v>6149.4712934017562</v>
      </c>
      <c r="J42" s="1" t="e">
        <f t="shared" si="0"/>
        <v>#VALUE!</v>
      </c>
    </row>
    <row r="43" spans="7:10" x14ac:dyDescent="0.3">
      <c r="G43" s="51"/>
      <c r="I43" s="2"/>
      <c r="J43" s="1"/>
    </row>
    <row r="44" spans="7:10" x14ac:dyDescent="0.3">
      <c r="G44" s="51"/>
    </row>
    <row r="45" spans="7:10" x14ac:dyDescent="0.3">
      <c r="G45" s="51"/>
    </row>
    <row r="46" spans="7:10" x14ac:dyDescent="0.3">
      <c r="G46" s="51"/>
    </row>
    <row r="47" spans="7:10" x14ac:dyDescent="0.3">
      <c r="G47" s="51"/>
    </row>
    <row r="48" spans="7:10" x14ac:dyDescent="0.3">
      <c r="G48" s="51"/>
    </row>
    <row r="49" spans="7:7" x14ac:dyDescent="0.3">
      <c r="G49" s="51"/>
    </row>
    <row r="50" spans="7:7" x14ac:dyDescent="0.3">
      <c r="G50" s="51"/>
    </row>
    <row r="51" spans="7:7" x14ac:dyDescent="0.3">
      <c r="G51" s="51"/>
    </row>
    <row r="52" spans="7:7" x14ac:dyDescent="0.3">
      <c r="G52" s="51"/>
    </row>
    <row r="53" spans="7:7" x14ac:dyDescent="0.3">
      <c r="G53" s="51"/>
    </row>
    <row r="54" spans="7:7" x14ac:dyDescent="0.3">
      <c r="G54" s="51"/>
    </row>
    <row r="55" spans="7:7" x14ac:dyDescent="0.3">
      <c r="G55" s="51"/>
    </row>
    <row r="56" spans="7:7" x14ac:dyDescent="0.3">
      <c r="G56" s="51"/>
    </row>
    <row r="57" spans="7:7" x14ac:dyDescent="0.3">
      <c r="G57" s="51"/>
    </row>
    <row r="58" spans="7:7" x14ac:dyDescent="0.3">
      <c r="G58" s="51"/>
    </row>
    <row r="59" spans="7:7" x14ac:dyDescent="0.3">
      <c r="G59" s="51"/>
    </row>
    <row r="60" spans="7:7" x14ac:dyDescent="0.3">
      <c r="G60" s="51"/>
    </row>
    <row r="61" spans="7:7" x14ac:dyDescent="0.3">
      <c r="G61" s="51"/>
    </row>
    <row r="62" spans="7:7" x14ac:dyDescent="0.3">
      <c r="G62" s="51"/>
    </row>
    <row r="63" spans="7:7" x14ac:dyDescent="0.3">
      <c r="G63" s="51"/>
    </row>
    <row r="64" spans="7:7" x14ac:dyDescent="0.3">
      <c r="G64" s="51"/>
    </row>
    <row r="65" spans="7:7" x14ac:dyDescent="0.3">
      <c r="G65" s="51"/>
    </row>
    <row r="66" spans="7:7" x14ac:dyDescent="0.3">
      <c r="G66" s="51"/>
    </row>
    <row r="67" spans="7:7" x14ac:dyDescent="0.3">
      <c r="G67" s="51"/>
    </row>
    <row r="68" spans="7:7" x14ac:dyDescent="0.3">
      <c r="G68" s="51"/>
    </row>
    <row r="69" spans="7:7" x14ac:dyDescent="0.3">
      <c r="G69" s="51"/>
    </row>
    <row r="70" spans="7:7" x14ac:dyDescent="0.3">
      <c r="G70" s="51"/>
    </row>
    <row r="71" spans="7:7" x14ac:dyDescent="0.3">
      <c r="G71" s="51"/>
    </row>
    <row r="72" spans="7:7" x14ac:dyDescent="0.3">
      <c r="G72" s="51"/>
    </row>
    <row r="73" spans="7:7" x14ac:dyDescent="0.3">
      <c r="G73" s="51"/>
    </row>
    <row r="74" spans="7:7" x14ac:dyDescent="0.3">
      <c r="G74" s="51"/>
    </row>
    <row r="75" spans="7:7" x14ac:dyDescent="0.3">
      <c r="G75" s="51"/>
    </row>
    <row r="76" spans="7:7" x14ac:dyDescent="0.3">
      <c r="G76" s="51"/>
    </row>
    <row r="77" spans="7:7" x14ac:dyDescent="0.3">
      <c r="G77" s="51"/>
    </row>
    <row r="78" spans="7:7" x14ac:dyDescent="0.3">
      <c r="G78" s="51"/>
    </row>
    <row r="79" spans="7:7" x14ac:dyDescent="0.3">
      <c r="G79" s="51"/>
    </row>
    <row r="80" spans="7:7" x14ac:dyDescent="0.3">
      <c r="G80" s="51"/>
    </row>
    <row r="81" spans="7:7" x14ac:dyDescent="0.3">
      <c r="G81" s="51"/>
    </row>
    <row r="82" spans="7:7" x14ac:dyDescent="0.3">
      <c r="G82" s="51"/>
    </row>
    <row r="83" spans="7:7" x14ac:dyDescent="0.3">
      <c r="G83" s="51"/>
    </row>
    <row r="84" spans="7:7" x14ac:dyDescent="0.3">
      <c r="G84" s="51"/>
    </row>
    <row r="85" spans="7:7" x14ac:dyDescent="0.3">
      <c r="G85" s="51"/>
    </row>
    <row r="86" spans="7:7" x14ac:dyDescent="0.3">
      <c r="G86" s="51"/>
    </row>
    <row r="87" spans="7:7" x14ac:dyDescent="0.3">
      <c r="G87" s="51"/>
    </row>
    <row r="88" spans="7:7" x14ac:dyDescent="0.3">
      <c r="G88" s="51"/>
    </row>
    <row r="89" spans="7:7" x14ac:dyDescent="0.3">
      <c r="G89" s="51"/>
    </row>
    <row r="90" spans="7:7" x14ac:dyDescent="0.3">
      <c r="G90" s="51"/>
    </row>
    <row r="91" spans="7:7" x14ac:dyDescent="0.3">
      <c r="G91" s="51"/>
    </row>
    <row r="92" spans="7:7" x14ac:dyDescent="0.3">
      <c r="G92" s="51"/>
    </row>
    <row r="93" spans="7:7" x14ac:dyDescent="0.3">
      <c r="G93" s="51"/>
    </row>
    <row r="94" spans="7:7" x14ac:dyDescent="0.3">
      <c r="G94" s="51"/>
    </row>
    <row r="95" spans="7:7" x14ac:dyDescent="0.3">
      <c r="G95" s="51"/>
    </row>
    <row r="96" spans="7:7" x14ac:dyDescent="0.3">
      <c r="G96" s="51"/>
    </row>
    <row r="97" spans="7:7" x14ac:dyDescent="0.3">
      <c r="G97" s="51"/>
    </row>
    <row r="98" spans="7:7" x14ac:dyDescent="0.3">
      <c r="G98" s="51"/>
    </row>
    <row r="99" spans="7:7" x14ac:dyDescent="0.3">
      <c r="G99" s="51"/>
    </row>
    <row r="100" spans="7:7" x14ac:dyDescent="0.3">
      <c r="G100" s="51"/>
    </row>
    <row r="101" spans="7:7" x14ac:dyDescent="0.3">
      <c r="G101" s="51"/>
    </row>
    <row r="102" spans="7:7" x14ac:dyDescent="0.3">
      <c r="G102" s="51"/>
    </row>
    <row r="103" spans="7:7" x14ac:dyDescent="0.3">
      <c r="G103" s="51"/>
    </row>
    <row r="104" spans="7:7" x14ac:dyDescent="0.3">
      <c r="G104" s="51"/>
    </row>
    <row r="105" spans="7:7" x14ac:dyDescent="0.3">
      <c r="G105" s="51"/>
    </row>
    <row r="106" spans="7:7" x14ac:dyDescent="0.3">
      <c r="G106" s="51"/>
    </row>
    <row r="107" spans="7:7" x14ac:dyDescent="0.3">
      <c r="G107" s="51"/>
    </row>
    <row r="108" spans="7:7" x14ac:dyDescent="0.3">
      <c r="G108" s="51"/>
    </row>
    <row r="109" spans="7:7" x14ac:dyDescent="0.3">
      <c r="G109" s="51"/>
    </row>
    <row r="110" spans="7:7" x14ac:dyDescent="0.3">
      <c r="G110" s="51"/>
    </row>
    <row r="111" spans="7:7" x14ac:dyDescent="0.3">
      <c r="G111" s="51"/>
    </row>
    <row r="112" spans="7:7" x14ac:dyDescent="0.3">
      <c r="G112" s="51"/>
    </row>
    <row r="113" spans="7:7" x14ac:dyDescent="0.3">
      <c r="G113" s="51"/>
    </row>
    <row r="114" spans="7:7" x14ac:dyDescent="0.3">
      <c r="G114" s="51"/>
    </row>
    <row r="115" spans="7:7" x14ac:dyDescent="0.3">
      <c r="G115" s="51"/>
    </row>
    <row r="116" spans="7:7" x14ac:dyDescent="0.3">
      <c r="G116" s="51"/>
    </row>
    <row r="117" spans="7:7" x14ac:dyDescent="0.3">
      <c r="G117" s="51"/>
    </row>
    <row r="118" spans="7:7" x14ac:dyDescent="0.3">
      <c r="G118" s="51"/>
    </row>
    <row r="119" spans="7:7" x14ac:dyDescent="0.3">
      <c r="G119" s="51"/>
    </row>
    <row r="120" spans="7:7" x14ac:dyDescent="0.3">
      <c r="G120" s="51"/>
    </row>
    <row r="121" spans="7:7" x14ac:dyDescent="0.3">
      <c r="G121" s="51"/>
    </row>
    <row r="122" spans="7:7" x14ac:dyDescent="0.3">
      <c r="G122" s="51"/>
    </row>
    <row r="123" spans="7:7" x14ac:dyDescent="0.3">
      <c r="G123" s="51"/>
    </row>
    <row r="124" spans="7:7" x14ac:dyDescent="0.3">
      <c r="G124" s="51"/>
    </row>
    <row r="125" spans="7:7" x14ac:dyDescent="0.3">
      <c r="G125" s="51"/>
    </row>
    <row r="126" spans="7:7" x14ac:dyDescent="0.3">
      <c r="G126" s="51"/>
    </row>
    <row r="127" spans="7:7" x14ac:dyDescent="0.3">
      <c r="G127" s="51"/>
    </row>
    <row r="128" spans="7:7" x14ac:dyDescent="0.3">
      <c r="G128" s="51"/>
    </row>
    <row r="129" spans="7:7" x14ac:dyDescent="0.3">
      <c r="G129" s="51"/>
    </row>
    <row r="130" spans="7:7" x14ac:dyDescent="0.3">
      <c r="G130" s="51"/>
    </row>
    <row r="131" spans="7:7" x14ac:dyDescent="0.3">
      <c r="G131" s="51"/>
    </row>
    <row r="132" spans="7:7" x14ac:dyDescent="0.3">
      <c r="G132" s="51"/>
    </row>
    <row r="133" spans="7:7" x14ac:dyDescent="0.3">
      <c r="G133" s="51"/>
    </row>
    <row r="134" spans="7:7" x14ac:dyDescent="0.3">
      <c r="G134" s="51"/>
    </row>
    <row r="135" spans="7:7" x14ac:dyDescent="0.3">
      <c r="G135" s="51"/>
    </row>
    <row r="136" spans="7:7" x14ac:dyDescent="0.3">
      <c r="G136" s="51"/>
    </row>
    <row r="137" spans="7:7" x14ac:dyDescent="0.3">
      <c r="G137" s="51"/>
    </row>
    <row r="138" spans="7:7" x14ac:dyDescent="0.3">
      <c r="G138" s="51"/>
    </row>
    <row r="139" spans="7:7" x14ac:dyDescent="0.3">
      <c r="G139" s="51"/>
    </row>
    <row r="140" spans="7:7" x14ac:dyDescent="0.3">
      <c r="G140" s="51"/>
    </row>
    <row r="141" spans="7:7" x14ac:dyDescent="0.3">
      <c r="G141" s="51"/>
    </row>
    <row r="142" spans="7:7" x14ac:dyDescent="0.3">
      <c r="G142" s="51"/>
    </row>
    <row r="143" spans="7:7" x14ac:dyDescent="0.3">
      <c r="G143" s="51"/>
    </row>
    <row r="144" spans="7:7" x14ac:dyDescent="0.3">
      <c r="G144" s="51"/>
    </row>
    <row r="145" spans="7:7" x14ac:dyDescent="0.3">
      <c r="G145" s="51"/>
    </row>
    <row r="146" spans="7:7" x14ac:dyDescent="0.3">
      <c r="G146" s="51"/>
    </row>
    <row r="147" spans="7:7" x14ac:dyDescent="0.3">
      <c r="G147" s="51"/>
    </row>
    <row r="148" spans="7:7" x14ac:dyDescent="0.3">
      <c r="G148" s="51"/>
    </row>
    <row r="149" spans="7:7" x14ac:dyDescent="0.3">
      <c r="G149" s="51"/>
    </row>
    <row r="150" spans="7:7" x14ac:dyDescent="0.3">
      <c r="G150" s="51"/>
    </row>
    <row r="151" spans="7:7" x14ac:dyDescent="0.3">
      <c r="G151" s="51"/>
    </row>
    <row r="152" spans="7:7" x14ac:dyDescent="0.3">
      <c r="G152" s="51"/>
    </row>
    <row r="153" spans="7:7" x14ac:dyDescent="0.3">
      <c r="G153" s="51"/>
    </row>
    <row r="154" spans="7:7" x14ac:dyDescent="0.3">
      <c r="G154" s="51"/>
    </row>
    <row r="155" spans="7:7" x14ac:dyDescent="0.3">
      <c r="G155" s="51"/>
    </row>
    <row r="156" spans="7:7" x14ac:dyDescent="0.3">
      <c r="G156" s="51"/>
    </row>
    <row r="157" spans="7:7" x14ac:dyDescent="0.3">
      <c r="G157" s="51"/>
    </row>
    <row r="158" spans="7:7" x14ac:dyDescent="0.3">
      <c r="G158" s="51"/>
    </row>
    <row r="159" spans="7:7" x14ac:dyDescent="0.3">
      <c r="G159" s="51"/>
    </row>
    <row r="160" spans="7:7" x14ac:dyDescent="0.3">
      <c r="G160" s="51"/>
    </row>
    <row r="161" spans="7:7" x14ac:dyDescent="0.3">
      <c r="G161" s="51"/>
    </row>
    <row r="162" spans="7:7" x14ac:dyDescent="0.3">
      <c r="G162" s="51"/>
    </row>
    <row r="163" spans="7:7" x14ac:dyDescent="0.3">
      <c r="G163" s="51"/>
    </row>
    <row r="164" spans="7:7" x14ac:dyDescent="0.3">
      <c r="G164" s="51"/>
    </row>
    <row r="165" spans="7:7" x14ac:dyDescent="0.3">
      <c r="G165" s="51"/>
    </row>
    <row r="166" spans="7:7" x14ac:dyDescent="0.3">
      <c r="G166" s="51"/>
    </row>
    <row r="167" spans="7:7" x14ac:dyDescent="0.3">
      <c r="G167" s="51"/>
    </row>
    <row r="168" spans="7:7" x14ac:dyDescent="0.3">
      <c r="G168" s="51"/>
    </row>
    <row r="169" spans="7:7" x14ac:dyDescent="0.3">
      <c r="G169" s="51"/>
    </row>
    <row r="170" spans="7:7" x14ac:dyDescent="0.3">
      <c r="G170" s="51"/>
    </row>
    <row r="171" spans="7:7" x14ac:dyDescent="0.3">
      <c r="G171" s="51"/>
    </row>
    <row r="172" spans="7:7" x14ac:dyDescent="0.3">
      <c r="G172" s="51"/>
    </row>
    <row r="173" spans="7:7" x14ac:dyDescent="0.3">
      <c r="G173" s="51"/>
    </row>
    <row r="174" spans="7:7" x14ac:dyDescent="0.3">
      <c r="G174" s="51"/>
    </row>
    <row r="175" spans="7:7" x14ac:dyDescent="0.3">
      <c r="G175" s="51"/>
    </row>
    <row r="176" spans="7:7" x14ac:dyDescent="0.3">
      <c r="G176" s="51"/>
    </row>
    <row r="177" spans="7:7" x14ac:dyDescent="0.3">
      <c r="G177" s="51"/>
    </row>
    <row r="178" spans="7:7" x14ac:dyDescent="0.3">
      <c r="G178" s="51"/>
    </row>
    <row r="179" spans="7:7" x14ac:dyDescent="0.3">
      <c r="G179" s="51"/>
    </row>
    <row r="180" spans="7:7" x14ac:dyDescent="0.3">
      <c r="G180" s="51"/>
    </row>
    <row r="181" spans="7:7" x14ac:dyDescent="0.3">
      <c r="G181" s="51"/>
    </row>
    <row r="182" spans="7:7" x14ac:dyDescent="0.3">
      <c r="G182" s="51"/>
    </row>
    <row r="183" spans="7:7" x14ac:dyDescent="0.3">
      <c r="G183" s="51"/>
    </row>
    <row r="184" spans="7:7" x14ac:dyDescent="0.3">
      <c r="G184" s="51"/>
    </row>
    <row r="185" spans="7:7" x14ac:dyDescent="0.3">
      <c r="G185" s="51"/>
    </row>
    <row r="186" spans="7:7" x14ac:dyDescent="0.3">
      <c r="G186" s="51"/>
    </row>
    <row r="187" spans="7:7" x14ac:dyDescent="0.3">
      <c r="G187" s="51"/>
    </row>
    <row r="188" spans="7:7" x14ac:dyDescent="0.3">
      <c r="G188" s="51"/>
    </row>
    <row r="189" spans="7:7" x14ac:dyDescent="0.3">
      <c r="G189" s="51"/>
    </row>
    <row r="190" spans="7:7" x14ac:dyDescent="0.3">
      <c r="G190" s="51"/>
    </row>
    <row r="191" spans="7:7" x14ac:dyDescent="0.3">
      <c r="G191" s="51"/>
    </row>
    <row r="192" spans="7:7" x14ac:dyDescent="0.3">
      <c r="G192" s="51"/>
    </row>
    <row r="193" spans="7:7" x14ac:dyDescent="0.3">
      <c r="G193" s="51"/>
    </row>
    <row r="194" spans="7:7" x14ac:dyDescent="0.3">
      <c r="G194" s="51"/>
    </row>
    <row r="195" spans="7:7" x14ac:dyDescent="0.3">
      <c r="G195" s="51"/>
    </row>
    <row r="196" spans="7:7" x14ac:dyDescent="0.3">
      <c r="G196" s="51"/>
    </row>
    <row r="197" spans="7:7" x14ac:dyDescent="0.3">
      <c r="G197" s="51"/>
    </row>
    <row r="198" spans="7:7" x14ac:dyDescent="0.3">
      <c r="G198" s="51"/>
    </row>
    <row r="199" spans="7:7" x14ac:dyDescent="0.3">
      <c r="G199" s="51"/>
    </row>
    <row r="200" spans="7:7" x14ac:dyDescent="0.3">
      <c r="G200" s="51"/>
    </row>
    <row r="201" spans="7:7" x14ac:dyDescent="0.3">
      <c r="G201" s="51"/>
    </row>
    <row r="202" spans="7:7" x14ac:dyDescent="0.3">
      <c r="G202" s="51"/>
    </row>
    <row r="203" spans="7:7" x14ac:dyDescent="0.3">
      <c r="G203" s="51"/>
    </row>
    <row r="204" spans="7:7" x14ac:dyDescent="0.3">
      <c r="G204" s="51"/>
    </row>
    <row r="205" spans="7:7" x14ac:dyDescent="0.3">
      <c r="G205" s="51"/>
    </row>
    <row r="206" spans="7:7" x14ac:dyDescent="0.3">
      <c r="G206" s="51"/>
    </row>
    <row r="207" spans="7:7" x14ac:dyDescent="0.3">
      <c r="G207" s="51"/>
    </row>
    <row r="208" spans="7:7" x14ac:dyDescent="0.3">
      <c r="G208" s="51"/>
    </row>
    <row r="209" spans="7:7" x14ac:dyDescent="0.3">
      <c r="G209" s="51"/>
    </row>
    <row r="210" spans="7:7" x14ac:dyDescent="0.3">
      <c r="G210" s="51"/>
    </row>
    <row r="211" spans="7:7" x14ac:dyDescent="0.3">
      <c r="G211" s="51"/>
    </row>
    <row r="212" spans="7:7" x14ac:dyDescent="0.3">
      <c r="G212" s="51"/>
    </row>
    <row r="213" spans="7:7" x14ac:dyDescent="0.3">
      <c r="G213" s="51"/>
    </row>
    <row r="214" spans="7:7" x14ac:dyDescent="0.3">
      <c r="G214" s="51"/>
    </row>
    <row r="215" spans="7:7" x14ac:dyDescent="0.3">
      <c r="G215" s="51"/>
    </row>
    <row r="216" spans="7:7" x14ac:dyDescent="0.3">
      <c r="G216" s="51"/>
    </row>
    <row r="217" spans="7:7" x14ac:dyDescent="0.3">
      <c r="G217" s="51"/>
    </row>
    <row r="218" spans="7:7" x14ac:dyDescent="0.3">
      <c r="G218" s="51"/>
    </row>
    <row r="219" spans="7:7" x14ac:dyDescent="0.3">
      <c r="G219" s="51"/>
    </row>
    <row r="220" spans="7:7" x14ac:dyDescent="0.3">
      <c r="G220" s="51"/>
    </row>
    <row r="221" spans="7:7" x14ac:dyDescent="0.3">
      <c r="G221" s="51"/>
    </row>
    <row r="222" spans="7:7" x14ac:dyDescent="0.3">
      <c r="G222" s="51"/>
    </row>
    <row r="223" spans="7:7" x14ac:dyDescent="0.3">
      <c r="G223" s="51"/>
    </row>
    <row r="224" spans="7:7" x14ac:dyDescent="0.3">
      <c r="G224" s="51"/>
    </row>
    <row r="225" spans="7:7" x14ac:dyDescent="0.3">
      <c r="G225" s="51"/>
    </row>
    <row r="226" spans="7:7" x14ac:dyDescent="0.3">
      <c r="G226" s="51"/>
    </row>
    <row r="227" spans="7:7" x14ac:dyDescent="0.3">
      <c r="G227" s="51"/>
    </row>
    <row r="228" spans="7:7" x14ac:dyDescent="0.3">
      <c r="G228" s="51"/>
    </row>
    <row r="229" spans="7:7" x14ac:dyDescent="0.3">
      <c r="G229" s="51"/>
    </row>
    <row r="230" spans="7:7" x14ac:dyDescent="0.3">
      <c r="G230" s="51"/>
    </row>
    <row r="231" spans="7:7" x14ac:dyDescent="0.3">
      <c r="G231" s="51"/>
    </row>
    <row r="232" spans="7:7" x14ac:dyDescent="0.3">
      <c r="G232" s="51"/>
    </row>
    <row r="233" spans="7:7" x14ac:dyDescent="0.3">
      <c r="G233" s="51"/>
    </row>
    <row r="234" spans="7:7" x14ac:dyDescent="0.3">
      <c r="G234" s="51"/>
    </row>
    <row r="235" spans="7:7" x14ac:dyDescent="0.3">
      <c r="G235" s="51"/>
    </row>
    <row r="236" spans="7:7" x14ac:dyDescent="0.3">
      <c r="G236" s="51"/>
    </row>
    <row r="237" spans="7:7" x14ac:dyDescent="0.3">
      <c r="G237" s="51"/>
    </row>
    <row r="238" spans="7:7" x14ac:dyDescent="0.3">
      <c r="G238" s="51"/>
    </row>
    <row r="239" spans="7:7" x14ac:dyDescent="0.3">
      <c r="G239" s="51"/>
    </row>
    <row r="240" spans="7:7" x14ac:dyDescent="0.3">
      <c r="G240" s="51"/>
    </row>
    <row r="241" spans="7:7" x14ac:dyDescent="0.3">
      <c r="G241" s="51"/>
    </row>
    <row r="242" spans="7:7" x14ac:dyDescent="0.3">
      <c r="G242" s="51"/>
    </row>
    <row r="243" spans="7:7" x14ac:dyDescent="0.3">
      <c r="G243" s="51"/>
    </row>
    <row r="244" spans="7:7" x14ac:dyDescent="0.3">
      <c r="G244" s="51"/>
    </row>
    <row r="245" spans="7:7" x14ac:dyDescent="0.3">
      <c r="G245" s="51"/>
    </row>
    <row r="246" spans="7:7" x14ac:dyDescent="0.3">
      <c r="G246" s="51"/>
    </row>
    <row r="247" spans="7:7" x14ac:dyDescent="0.3">
      <c r="G247" s="51"/>
    </row>
    <row r="248" spans="7:7" x14ac:dyDescent="0.3">
      <c r="G248" s="51"/>
    </row>
    <row r="249" spans="7:7" x14ac:dyDescent="0.3">
      <c r="G249" s="51"/>
    </row>
    <row r="250" spans="7:7" x14ac:dyDescent="0.3">
      <c r="G250" s="51"/>
    </row>
    <row r="251" spans="7:7" x14ac:dyDescent="0.3">
      <c r="G251" s="51"/>
    </row>
    <row r="252" spans="7:7" x14ac:dyDescent="0.3">
      <c r="G252" s="51"/>
    </row>
    <row r="253" spans="7:7" x14ac:dyDescent="0.3">
      <c r="G253" s="51"/>
    </row>
    <row r="254" spans="7:7" x14ac:dyDescent="0.3">
      <c r="G254" s="51"/>
    </row>
    <row r="255" spans="7:7" x14ac:dyDescent="0.3">
      <c r="G255" s="51"/>
    </row>
    <row r="256" spans="7:7" x14ac:dyDescent="0.3">
      <c r="G256" s="51"/>
    </row>
    <row r="257" spans="7:7" x14ac:dyDescent="0.3">
      <c r="G257" s="51"/>
    </row>
    <row r="258" spans="7:7" x14ac:dyDescent="0.3">
      <c r="G258" s="51"/>
    </row>
    <row r="259" spans="7:7" x14ac:dyDescent="0.3">
      <c r="G259" s="51"/>
    </row>
    <row r="260" spans="7:7" x14ac:dyDescent="0.3">
      <c r="G260" s="51"/>
    </row>
    <row r="261" spans="7:7" x14ac:dyDescent="0.3">
      <c r="G261" s="51"/>
    </row>
    <row r="262" spans="7:7" x14ac:dyDescent="0.3">
      <c r="G262" s="51"/>
    </row>
    <row r="263" spans="7:7" x14ac:dyDescent="0.3">
      <c r="G263" s="51"/>
    </row>
    <row r="264" spans="7:7" x14ac:dyDescent="0.3">
      <c r="G264" s="51"/>
    </row>
    <row r="265" spans="7:7" x14ac:dyDescent="0.3">
      <c r="G265" s="51"/>
    </row>
    <row r="266" spans="7:7" x14ac:dyDescent="0.3">
      <c r="G266" s="51"/>
    </row>
    <row r="267" spans="7:7" x14ac:dyDescent="0.3">
      <c r="G267" s="51"/>
    </row>
    <row r="268" spans="7:7" x14ac:dyDescent="0.3">
      <c r="G268" s="51"/>
    </row>
    <row r="269" spans="7:7" x14ac:dyDescent="0.3">
      <c r="G269" s="51"/>
    </row>
    <row r="270" spans="7:7" x14ac:dyDescent="0.3">
      <c r="G270" s="51"/>
    </row>
    <row r="271" spans="7:7" x14ac:dyDescent="0.3">
      <c r="G271" s="51"/>
    </row>
    <row r="272" spans="7:7" x14ac:dyDescent="0.3">
      <c r="G272" s="51"/>
    </row>
    <row r="273" spans="7:7" x14ac:dyDescent="0.3">
      <c r="G273" s="51"/>
    </row>
    <row r="274" spans="7:7" x14ac:dyDescent="0.3">
      <c r="G274" s="51"/>
    </row>
    <row r="275" spans="7:7" x14ac:dyDescent="0.3">
      <c r="G275" s="51"/>
    </row>
    <row r="276" spans="7:7" x14ac:dyDescent="0.3">
      <c r="G276" s="51"/>
    </row>
    <row r="277" spans="7:7" x14ac:dyDescent="0.3">
      <c r="G277" s="51"/>
    </row>
    <row r="278" spans="7:7" x14ac:dyDescent="0.3">
      <c r="G278" s="51"/>
    </row>
    <row r="279" spans="7:7" x14ac:dyDescent="0.3">
      <c r="G279" s="51"/>
    </row>
    <row r="280" spans="7:7" x14ac:dyDescent="0.3">
      <c r="G280" s="51"/>
    </row>
    <row r="281" spans="7:7" x14ac:dyDescent="0.3">
      <c r="G281" s="51"/>
    </row>
    <row r="282" spans="7:7" x14ac:dyDescent="0.3">
      <c r="G282" s="51"/>
    </row>
    <row r="283" spans="7:7" x14ac:dyDescent="0.3">
      <c r="G283" s="51"/>
    </row>
    <row r="284" spans="7:7" x14ac:dyDescent="0.3">
      <c r="G284" s="51"/>
    </row>
    <row r="285" spans="7:7" x14ac:dyDescent="0.3">
      <c r="G285" s="51"/>
    </row>
    <row r="286" spans="7:7" x14ac:dyDescent="0.3">
      <c r="G286" s="51"/>
    </row>
    <row r="287" spans="7:7" x14ac:dyDescent="0.3">
      <c r="G287" s="51"/>
    </row>
    <row r="288" spans="7:7" x14ac:dyDescent="0.3">
      <c r="G288" s="51"/>
    </row>
    <row r="289" spans="7:7" x14ac:dyDescent="0.3">
      <c r="G289" s="51"/>
    </row>
    <row r="290" spans="7:7" x14ac:dyDescent="0.3">
      <c r="G290" s="51"/>
    </row>
    <row r="291" spans="7:7" x14ac:dyDescent="0.3">
      <c r="G291" s="51"/>
    </row>
    <row r="292" spans="7:7" x14ac:dyDescent="0.3">
      <c r="G292" s="51"/>
    </row>
    <row r="293" spans="7:7" x14ac:dyDescent="0.3">
      <c r="G293" s="51"/>
    </row>
    <row r="294" spans="7:7" x14ac:dyDescent="0.3">
      <c r="G294" s="51"/>
    </row>
    <row r="295" spans="7:7" x14ac:dyDescent="0.3">
      <c r="G295" s="51"/>
    </row>
    <row r="296" spans="7:7" x14ac:dyDescent="0.3">
      <c r="G296" s="51"/>
    </row>
    <row r="297" spans="7:7" x14ac:dyDescent="0.3">
      <c r="G297" s="51"/>
    </row>
    <row r="298" spans="7:7" x14ac:dyDescent="0.3">
      <c r="G298" s="51"/>
    </row>
    <row r="299" spans="7:7" x14ac:dyDescent="0.3">
      <c r="G299" s="51"/>
    </row>
    <row r="300" spans="7:7" x14ac:dyDescent="0.3">
      <c r="G300" s="51"/>
    </row>
    <row r="301" spans="7:7" x14ac:dyDescent="0.3">
      <c r="G301" s="51"/>
    </row>
    <row r="302" spans="7:7" x14ac:dyDescent="0.3">
      <c r="G302" s="51"/>
    </row>
    <row r="303" spans="7:7" x14ac:dyDescent="0.3">
      <c r="G303" s="51"/>
    </row>
    <row r="304" spans="7:7" x14ac:dyDescent="0.3">
      <c r="G304" s="51"/>
    </row>
    <row r="305" spans="7:7" x14ac:dyDescent="0.3">
      <c r="G305" s="51"/>
    </row>
    <row r="306" spans="7:7" x14ac:dyDescent="0.3">
      <c r="G306" s="51"/>
    </row>
    <row r="307" spans="7:7" x14ac:dyDescent="0.3">
      <c r="G307" s="51"/>
    </row>
    <row r="308" spans="7:7" x14ac:dyDescent="0.3">
      <c r="G308" s="51"/>
    </row>
    <row r="309" spans="7:7" x14ac:dyDescent="0.3">
      <c r="G309" s="51"/>
    </row>
    <row r="310" spans="7:7" x14ac:dyDescent="0.3">
      <c r="G310" s="51"/>
    </row>
    <row r="311" spans="7:7" x14ac:dyDescent="0.3">
      <c r="G311" s="51"/>
    </row>
    <row r="312" spans="7:7" x14ac:dyDescent="0.3">
      <c r="G312" s="51"/>
    </row>
    <row r="313" spans="7:7" x14ac:dyDescent="0.3">
      <c r="G313" s="51"/>
    </row>
    <row r="314" spans="7:7" x14ac:dyDescent="0.3">
      <c r="G314" s="51"/>
    </row>
    <row r="315" spans="7:7" x14ac:dyDescent="0.3">
      <c r="G315" s="51"/>
    </row>
    <row r="316" spans="7:7" x14ac:dyDescent="0.3">
      <c r="G316" s="51"/>
    </row>
    <row r="317" spans="7:7" x14ac:dyDescent="0.3">
      <c r="G317" s="51"/>
    </row>
    <row r="318" spans="7:7" x14ac:dyDescent="0.3">
      <c r="G318" s="51"/>
    </row>
    <row r="319" spans="7:7" x14ac:dyDescent="0.3">
      <c r="G319" s="51"/>
    </row>
    <row r="320" spans="7:7" x14ac:dyDescent="0.3">
      <c r="G320" s="51"/>
    </row>
    <row r="321" spans="7:7" x14ac:dyDescent="0.3">
      <c r="G321" s="51"/>
    </row>
    <row r="322" spans="7:7" x14ac:dyDescent="0.3">
      <c r="G322" s="51"/>
    </row>
    <row r="323" spans="7:7" x14ac:dyDescent="0.3">
      <c r="G323" s="51"/>
    </row>
    <row r="324" spans="7:7" x14ac:dyDescent="0.3">
      <c r="G324" s="51"/>
    </row>
    <row r="325" spans="7:7" x14ac:dyDescent="0.3">
      <c r="G325" s="51"/>
    </row>
    <row r="326" spans="7:7" x14ac:dyDescent="0.3">
      <c r="G326" s="51"/>
    </row>
    <row r="327" spans="7:7" x14ac:dyDescent="0.3">
      <c r="G327" s="51"/>
    </row>
    <row r="328" spans="7:7" x14ac:dyDescent="0.3">
      <c r="G328" s="51"/>
    </row>
    <row r="329" spans="7:7" x14ac:dyDescent="0.3">
      <c r="G329" s="51"/>
    </row>
    <row r="330" spans="7:7" x14ac:dyDescent="0.3">
      <c r="G330" s="51"/>
    </row>
    <row r="331" spans="7:7" x14ac:dyDescent="0.3">
      <c r="G331" s="51"/>
    </row>
    <row r="332" spans="7:7" x14ac:dyDescent="0.3">
      <c r="G332" s="51"/>
    </row>
    <row r="333" spans="7:7" x14ac:dyDescent="0.3">
      <c r="G333" s="51"/>
    </row>
    <row r="334" spans="7:7" x14ac:dyDescent="0.3">
      <c r="G334" s="51"/>
    </row>
    <row r="335" spans="7:7" x14ac:dyDescent="0.3">
      <c r="G335" s="51"/>
    </row>
    <row r="336" spans="7:7" x14ac:dyDescent="0.3">
      <c r="G336" s="51"/>
    </row>
    <row r="337" spans="7:7" x14ac:dyDescent="0.3">
      <c r="G337" s="51"/>
    </row>
    <row r="338" spans="7:7" x14ac:dyDescent="0.3">
      <c r="G338" s="51"/>
    </row>
    <row r="339" spans="7:7" x14ac:dyDescent="0.3">
      <c r="G339" s="51"/>
    </row>
    <row r="340" spans="7:7" x14ac:dyDescent="0.3">
      <c r="G340" s="51"/>
    </row>
    <row r="341" spans="7:7" x14ac:dyDescent="0.3">
      <c r="G341" s="51"/>
    </row>
    <row r="342" spans="7:7" x14ac:dyDescent="0.3">
      <c r="G342" s="51"/>
    </row>
    <row r="343" spans="7:7" x14ac:dyDescent="0.3">
      <c r="G343" s="51"/>
    </row>
    <row r="344" spans="7:7" x14ac:dyDescent="0.3">
      <c r="G344" s="51"/>
    </row>
    <row r="345" spans="7:7" x14ac:dyDescent="0.3">
      <c r="G345" s="51"/>
    </row>
    <row r="346" spans="7:7" x14ac:dyDescent="0.3">
      <c r="G346" s="51"/>
    </row>
    <row r="347" spans="7:7" x14ac:dyDescent="0.3">
      <c r="G347" s="51"/>
    </row>
    <row r="348" spans="7:7" x14ac:dyDescent="0.3">
      <c r="G348" s="51"/>
    </row>
    <row r="349" spans="7:7" x14ac:dyDescent="0.3">
      <c r="G349" s="51"/>
    </row>
    <row r="350" spans="7:7" x14ac:dyDescent="0.3">
      <c r="G350" s="51"/>
    </row>
    <row r="351" spans="7:7" x14ac:dyDescent="0.3">
      <c r="G351" s="51"/>
    </row>
    <row r="352" spans="7:7" x14ac:dyDescent="0.3">
      <c r="G352" s="51"/>
    </row>
    <row r="353" spans="7:7" x14ac:dyDescent="0.3">
      <c r="G353" s="51"/>
    </row>
    <row r="354" spans="7:7" x14ac:dyDescent="0.3">
      <c r="G354" s="51"/>
    </row>
    <row r="355" spans="7:7" x14ac:dyDescent="0.3">
      <c r="G355" s="51"/>
    </row>
    <row r="356" spans="7:7" x14ac:dyDescent="0.3">
      <c r="G356" s="51"/>
    </row>
    <row r="357" spans="7:7" x14ac:dyDescent="0.3">
      <c r="G357" s="51"/>
    </row>
    <row r="358" spans="7:7" x14ac:dyDescent="0.3">
      <c r="G358" s="51"/>
    </row>
    <row r="359" spans="7:7" x14ac:dyDescent="0.3">
      <c r="G359" s="51"/>
    </row>
    <row r="360" spans="7:7" x14ac:dyDescent="0.3">
      <c r="G360" s="51"/>
    </row>
    <row r="361" spans="7:7" x14ac:dyDescent="0.3">
      <c r="G361" s="51"/>
    </row>
    <row r="362" spans="7:7" x14ac:dyDescent="0.3">
      <c r="G362" s="51"/>
    </row>
    <row r="363" spans="7:7" x14ac:dyDescent="0.3">
      <c r="G363" s="51"/>
    </row>
    <row r="364" spans="7:7" x14ac:dyDescent="0.3">
      <c r="G364" s="51"/>
    </row>
    <row r="365" spans="7:7" x14ac:dyDescent="0.3">
      <c r="G365" s="51"/>
    </row>
    <row r="366" spans="7:7" x14ac:dyDescent="0.3">
      <c r="G366" s="51"/>
    </row>
    <row r="367" spans="7:7" x14ac:dyDescent="0.3">
      <c r="G367" s="51"/>
    </row>
    <row r="368" spans="7:7" x14ac:dyDescent="0.3">
      <c r="G368" s="51"/>
    </row>
    <row r="369" spans="7:7" x14ac:dyDescent="0.3">
      <c r="G369" s="51"/>
    </row>
    <row r="370" spans="7:7" x14ac:dyDescent="0.3">
      <c r="G370" s="51"/>
    </row>
    <row r="371" spans="7:7" x14ac:dyDescent="0.3">
      <c r="G371" s="51"/>
    </row>
    <row r="372" spans="7:7" x14ac:dyDescent="0.3">
      <c r="G372" s="51"/>
    </row>
    <row r="373" spans="7:7" x14ac:dyDescent="0.3">
      <c r="G373" s="51"/>
    </row>
    <row r="374" spans="7:7" x14ac:dyDescent="0.3">
      <c r="G374" s="51"/>
    </row>
    <row r="375" spans="7:7" x14ac:dyDescent="0.3">
      <c r="G375" s="51"/>
    </row>
    <row r="376" spans="7:7" x14ac:dyDescent="0.3">
      <c r="G376" s="51"/>
    </row>
    <row r="377" spans="7:7" x14ac:dyDescent="0.3">
      <c r="G377" s="51"/>
    </row>
    <row r="378" spans="7:7" x14ac:dyDescent="0.3">
      <c r="G378" s="51"/>
    </row>
    <row r="379" spans="7:7" x14ac:dyDescent="0.3">
      <c r="G379" s="51"/>
    </row>
    <row r="380" spans="7:7" x14ac:dyDescent="0.3">
      <c r="G380" s="51"/>
    </row>
    <row r="381" spans="7:7" x14ac:dyDescent="0.3">
      <c r="G381" s="51"/>
    </row>
    <row r="382" spans="7:7" x14ac:dyDescent="0.3">
      <c r="G382" s="51"/>
    </row>
    <row r="383" spans="7:7" x14ac:dyDescent="0.3">
      <c r="G383" s="51"/>
    </row>
    <row r="384" spans="7:7" x14ac:dyDescent="0.3">
      <c r="G384" s="51"/>
    </row>
    <row r="385" spans="7:7" x14ac:dyDescent="0.3">
      <c r="G385" s="51"/>
    </row>
    <row r="386" spans="7:7" x14ac:dyDescent="0.3">
      <c r="G386" s="51"/>
    </row>
    <row r="387" spans="7:7" x14ac:dyDescent="0.3">
      <c r="G387" s="51"/>
    </row>
    <row r="388" spans="7:7" x14ac:dyDescent="0.3">
      <c r="G388" s="51"/>
    </row>
    <row r="389" spans="7:7" x14ac:dyDescent="0.3">
      <c r="G389" s="51"/>
    </row>
    <row r="390" spans="7:7" x14ac:dyDescent="0.3">
      <c r="G390" s="51"/>
    </row>
    <row r="391" spans="7:7" x14ac:dyDescent="0.3">
      <c r="G391" s="51"/>
    </row>
    <row r="392" spans="7:7" x14ac:dyDescent="0.3">
      <c r="G392" s="51"/>
    </row>
    <row r="393" spans="7:7" x14ac:dyDescent="0.3">
      <c r="G393" s="51"/>
    </row>
    <row r="394" spans="7:7" x14ac:dyDescent="0.3">
      <c r="G394" s="51"/>
    </row>
    <row r="395" spans="7:7" x14ac:dyDescent="0.3">
      <c r="G395" s="51"/>
    </row>
    <row r="396" spans="7:7" x14ac:dyDescent="0.3">
      <c r="G396" s="51"/>
    </row>
    <row r="397" spans="7:7" x14ac:dyDescent="0.3">
      <c r="G397" s="51"/>
    </row>
    <row r="398" spans="7:7" x14ac:dyDescent="0.3">
      <c r="G398" s="51"/>
    </row>
    <row r="399" spans="7:7" x14ac:dyDescent="0.3">
      <c r="G399" s="51"/>
    </row>
    <row r="400" spans="7:7" x14ac:dyDescent="0.3">
      <c r="G400" s="51"/>
    </row>
    <row r="401" spans="7:7" x14ac:dyDescent="0.3">
      <c r="G401" s="51"/>
    </row>
    <row r="402" spans="7:7" x14ac:dyDescent="0.3">
      <c r="G402" s="51"/>
    </row>
    <row r="403" spans="7:7" x14ac:dyDescent="0.3">
      <c r="G403" s="51"/>
    </row>
    <row r="404" spans="7:7" x14ac:dyDescent="0.3">
      <c r="G404" s="51"/>
    </row>
    <row r="405" spans="7:7" x14ac:dyDescent="0.3">
      <c r="G405" s="51"/>
    </row>
    <row r="406" spans="7:7" x14ac:dyDescent="0.3">
      <c r="G406" s="51"/>
    </row>
    <row r="407" spans="7:7" x14ac:dyDescent="0.3">
      <c r="G407" s="51"/>
    </row>
    <row r="408" spans="7:7" x14ac:dyDescent="0.3">
      <c r="G408" s="51"/>
    </row>
    <row r="409" spans="7:7" x14ac:dyDescent="0.3">
      <c r="G409" s="51"/>
    </row>
    <row r="410" spans="7:7" x14ac:dyDescent="0.3">
      <c r="G410" s="51"/>
    </row>
    <row r="411" spans="7:7" x14ac:dyDescent="0.3">
      <c r="G411" s="51"/>
    </row>
    <row r="412" spans="7:7" x14ac:dyDescent="0.3">
      <c r="G412" s="51"/>
    </row>
    <row r="413" spans="7:7" x14ac:dyDescent="0.3">
      <c r="G413" s="5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eregnTrykkote">
                <anchor moveWithCells="1" sizeWithCells="1">
                  <from>
                    <xdr:col>4</xdr:col>
                    <xdr:colOff>0</xdr:colOff>
                    <xdr:row>8</xdr:row>
                    <xdr:rowOff>7620</xdr:rowOff>
                  </from>
                  <to>
                    <xdr:col>5</xdr:col>
                    <xdr:colOff>0</xdr:colOff>
                    <xdr:row>10</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1"/>
  <dimension ref="A1:E8"/>
  <sheetViews>
    <sheetView zoomScale="70" zoomScaleNormal="70" workbookViewId="0">
      <selection activeCell="B5" sqref="B5"/>
    </sheetView>
  </sheetViews>
  <sheetFormatPr defaultRowHeight="14.4" x14ac:dyDescent="0.3"/>
  <cols>
    <col min="1" max="1" width="66.77734375" customWidth="1"/>
    <col min="2" max="3" width="22.77734375" customWidth="1"/>
    <col min="4" max="4" width="65.77734375" customWidth="1"/>
    <col min="5" max="5" width="34.77734375" customWidth="1"/>
    <col min="6" max="7" width="5.77734375" customWidth="1"/>
    <col min="8" max="8" width="21.77734375" customWidth="1"/>
    <col min="9" max="10" width="20.77734375" customWidth="1"/>
    <col min="11" max="11" width="12.33203125" bestFit="1" customWidth="1"/>
  </cols>
  <sheetData>
    <row r="1" spans="1:5" ht="22.2" x14ac:dyDescent="0.45">
      <c r="A1" s="32" t="s">
        <v>37</v>
      </c>
      <c r="D1" s="33" t="s">
        <v>21</v>
      </c>
    </row>
    <row r="2" spans="1:5" ht="130.05000000000001" customHeight="1" thickBot="1" x14ac:dyDescent="0.35">
      <c r="A2" s="52" t="s">
        <v>44</v>
      </c>
    </row>
    <row r="3" spans="1:5" ht="15.6" thickBot="1" x14ac:dyDescent="0.4">
      <c r="A3" s="40" t="s">
        <v>39</v>
      </c>
      <c r="B3" s="6" t="s">
        <v>29</v>
      </c>
      <c r="C3" s="7"/>
      <c r="E3" s="8" t="s">
        <v>16</v>
      </c>
    </row>
    <row r="4" spans="1:5" ht="15.6" thickBot="1" x14ac:dyDescent="0.4">
      <c r="A4" s="46" t="s">
        <v>10</v>
      </c>
      <c r="B4" s="41">
        <v>10</v>
      </c>
      <c r="C4" s="53" t="s">
        <v>38</v>
      </c>
      <c r="D4" s="56"/>
      <c r="E4" s="9" t="s">
        <v>17</v>
      </c>
    </row>
    <row r="5" spans="1:5" ht="15.6" thickBot="1" x14ac:dyDescent="0.4">
      <c r="A5" s="46" t="s">
        <v>40</v>
      </c>
      <c r="B5" s="55">
        <v>2819.5086809182312</v>
      </c>
      <c r="C5" s="53" t="s">
        <v>41</v>
      </c>
      <c r="E5" s="10" t="s">
        <v>18</v>
      </c>
    </row>
    <row r="6" spans="1:5" ht="15" x14ac:dyDescent="0.35">
      <c r="E6" s="10" t="s">
        <v>19</v>
      </c>
    </row>
    <row r="7" spans="1:5" ht="15" customHeight="1" thickBot="1" x14ac:dyDescent="0.4">
      <c r="E7" s="11" t="s">
        <v>20</v>
      </c>
    </row>
    <row r="8" spans="1:5" ht="15.6" thickBot="1" x14ac:dyDescent="0.4">
      <c r="E8" s="50" t="s">
        <v>36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BeregnDimensioner">
                <anchor moveWithCells="1" sizeWithCells="1">
                  <from>
                    <xdr:col>4</xdr:col>
                    <xdr:colOff>0</xdr:colOff>
                    <xdr:row>8</xdr:row>
                    <xdr:rowOff>7620</xdr:rowOff>
                  </from>
                  <to>
                    <xdr:col>5</xdr:col>
                    <xdr:colOff>0</xdr:colOff>
                    <xdr:row>10</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301"/>
  <sheetViews>
    <sheetView zoomScale="70" zoomScaleNormal="70" workbookViewId="0">
      <selection activeCell="C15" sqref="C15"/>
    </sheetView>
  </sheetViews>
  <sheetFormatPr defaultRowHeight="14.4" x14ac:dyDescent="0.3"/>
  <cols>
    <col min="1" max="1" width="28.33203125" bestFit="1" customWidth="1"/>
    <col min="2" max="3" width="11.88671875" bestFit="1" customWidth="1"/>
    <col min="4" max="17" width="10.77734375" bestFit="1" customWidth="1"/>
    <col min="18" max="18" width="9.77734375" bestFit="1" customWidth="1"/>
    <col min="21" max="21" width="21.21875" bestFit="1" customWidth="1"/>
    <col min="22" max="22" width="16.109375" bestFit="1" customWidth="1"/>
  </cols>
  <sheetData>
    <row r="1" spans="1:22" ht="15" thickBot="1" x14ac:dyDescent="0.35">
      <c r="A1" t="s">
        <v>15</v>
      </c>
      <c r="B1" s="5">
        <v>0.4</v>
      </c>
      <c r="C1" s="6">
        <v>0.6</v>
      </c>
      <c r="D1" s="6">
        <v>0.8</v>
      </c>
      <c r="E1" s="6">
        <v>1</v>
      </c>
      <c r="F1" s="6">
        <v>1.3</v>
      </c>
      <c r="G1" s="6">
        <v>1.6</v>
      </c>
      <c r="H1" s="6">
        <v>2</v>
      </c>
      <c r="I1" s="6">
        <v>3</v>
      </c>
      <c r="J1" s="6">
        <v>4</v>
      </c>
      <c r="K1" s="6">
        <v>5</v>
      </c>
      <c r="L1" s="6">
        <v>6</v>
      </c>
      <c r="M1" s="6">
        <v>7</v>
      </c>
      <c r="N1" s="6">
        <v>8</v>
      </c>
      <c r="O1" s="6">
        <v>9</v>
      </c>
      <c r="P1" s="6">
        <v>10</v>
      </c>
      <c r="Q1" s="6">
        <v>50</v>
      </c>
      <c r="R1" s="7">
        <v>1000</v>
      </c>
    </row>
    <row r="2" spans="1:22" x14ac:dyDescent="0.3">
      <c r="A2" s="17">
        <v>0</v>
      </c>
      <c r="B2" s="20">
        <v>20.324699999991001</v>
      </c>
      <c r="C2" s="21">
        <v>12.1043399999597</v>
      </c>
      <c r="D2" s="21">
        <v>10.2742799997496</v>
      </c>
      <c r="E2" s="21">
        <v>9.3261599994187492</v>
      </c>
      <c r="F2" s="21">
        <v>8.4361800002905891</v>
      </c>
      <c r="G2" s="21">
        <v>7.3995600005007196</v>
      </c>
      <c r="H2" s="21">
        <v>6.51635999964238</v>
      </c>
      <c r="I2" s="21">
        <v>4.7782799989271103</v>
      </c>
      <c r="J2" s="21">
        <v>3.6242400003576298</v>
      </c>
      <c r="K2" s="21">
        <v>2.9404799963119599</v>
      </c>
      <c r="L2" s="21">
        <v>2.5081199982565598</v>
      </c>
      <c r="M2" s="21">
        <v>2.1123599982789099</v>
      </c>
      <c r="N2" s="21">
        <v>1.8721199992847399</v>
      </c>
      <c r="O2" s="21">
        <v>1.6619999973848401</v>
      </c>
      <c r="P2" s="21">
        <v>1.5199799995529599</v>
      </c>
      <c r="Q2" s="21">
        <v>0.40001999999999999</v>
      </c>
      <c r="R2" s="22">
        <v>0.40001999999999999</v>
      </c>
    </row>
    <row r="3" spans="1:22" ht="15" thickBot="1" x14ac:dyDescent="0.35">
      <c r="A3" s="18">
        <v>0.13377926000000001</v>
      </c>
      <c r="B3" s="23">
        <v>23.7660166145128</v>
      </c>
      <c r="C3" s="24">
        <v>14.261474159080599</v>
      </c>
      <c r="D3" s="24">
        <v>11.977309674737601</v>
      </c>
      <c r="E3" s="24">
        <v>10.7149971909831</v>
      </c>
      <c r="F3" s="24">
        <v>9.5517090419047506</v>
      </c>
      <c r="G3" s="24">
        <v>8.4844066981969899</v>
      </c>
      <c r="H3" s="24">
        <v>7.5305773583485296</v>
      </c>
      <c r="I3" s="24">
        <v>5.6992609298932102</v>
      </c>
      <c r="J3" s="24">
        <v>4.4159072196286298</v>
      </c>
      <c r="K3" s="24">
        <v>3.71190299428185</v>
      </c>
      <c r="L3" s="24">
        <v>3.1507782165560299</v>
      </c>
      <c r="M3" s="24">
        <v>2.8037398127353299</v>
      </c>
      <c r="N3" s="24">
        <v>2.4287806347745602</v>
      </c>
      <c r="O3" s="24">
        <v>2.14637731816127</v>
      </c>
      <c r="P3" s="24">
        <v>1.9199508242126999</v>
      </c>
      <c r="Q3" s="24">
        <v>0.50004001788139296</v>
      </c>
      <c r="R3" s="25">
        <v>0.40001999999999999</v>
      </c>
    </row>
    <row r="4" spans="1:22" ht="15" x14ac:dyDescent="0.35">
      <c r="A4" s="18">
        <v>0.26755853000000002</v>
      </c>
      <c r="B4" s="23">
        <v>37.597552406210703</v>
      </c>
      <c r="C4" s="24">
        <v>22.045184478418001</v>
      </c>
      <c r="D4" s="24">
        <v>18.28600241186</v>
      </c>
      <c r="E4" s="24">
        <v>15.875454552504999</v>
      </c>
      <c r="F4" s="24">
        <v>13.809938395784799</v>
      </c>
      <c r="G4" s="24">
        <v>12.5194361747622</v>
      </c>
      <c r="H4" s="24">
        <v>11.2007991305684</v>
      </c>
      <c r="I4" s="24">
        <v>9.0594085388440302</v>
      </c>
      <c r="J4" s="24">
        <v>7.4304103631082503</v>
      </c>
      <c r="K4" s="24">
        <v>6.4677807139121297</v>
      </c>
      <c r="L4" s="24">
        <v>5.7583331042057999</v>
      </c>
      <c r="M4" s="24">
        <v>5.2142397191360796</v>
      </c>
      <c r="N4" s="24">
        <v>4.6735413467781397</v>
      </c>
      <c r="O4" s="24">
        <v>4.3870148226201797</v>
      </c>
      <c r="P4" s="24">
        <v>4.1563181859355796</v>
      </c>
      <c r="Q4" s="24">
        <v>1.3000199955580301</v>
      </c>
      <c r="R4" s="25">
        <v>0.79997999999999903</v>
      </c>
      <c r="U4" s="14" t="s">
        <v>11</v>
      </c>
      <c r="V4" s="12">
        <v>2.5499999999999998</v>
      </c>
    </row>
    <row r="5" spans="1:22" ht="15.6" thickBot="1" x14ac:dyDescent="0.4">
      <c r="A5" s="18">
        <v>0.40133779000000003</v>
      </c>
      <c r="B5" s="23">
        <v>45.677193733041797</v>
      </c>
      <c r="C5" s="24">
        <v>26.880419971123601</v>
      </c>
      <c r="D5" s="24">
        <v>20.905222380929299</v>
      </c>
      <c r="E5" s="24">
        <v>18.819816058715102</v>
      </c>
      <c r="F5" s="24">
        <v>16.815570223392001</v>
      </c>
      <c r="G5" s="24">
        <v>15.4644104920351</v>
      </c>
      <c r="H5" s="24">
        <v>13.765164039539499</v>
      </c>
      <c r="I5" s="24">
        <v>11.294550191201999</v>
      </c>
      <c r="J5" s="24">
        <v>9.2992612551088207</v>
      </c>
      <c r="K5" s="24">
        <v>8.3397959936956703</v>
      </c>
      <c r="L5" s="24">
        <v>7.4585694269651999</v>
      </c>
      <c r="M5" s="24">
        <v>6.6935998102358596</v>
      </c>
      <c r="N5" s="24">
        <v>6.1781829754605599</v>
      </c>
      <c r="O5" s="24">
        <v>5.6726631119866902</v>
      </c>
      <c r="P5" s="24">
        <v>5.27122466374776</v>
      </c>
      <c r="Q5" s="24">
        <v>2.10006000719721</v>
      </c>
      <c r="R5" s="25">
        <v>1.0000199999999999</v>
      </c>
      <c r="U5" s="16" t="s">
        <v>10</v>
      </c>
      <c r="V5" s="13">
        <v>39</v>
      </c>
    </row>
    <row r="6" spans="1:22" ht="15" thickBot="1" x14ac:dyDescent="0.35">
      <c r="A6" s="18">
        <v>0.53511706000000003</v>
      </c>
      <c r="B6" s="23">
        <v>52.376029356024901</v>
      </c>
      <c r="C6" s="24">
        <v>30.248299939251702</v>
      </c>
      <c r="D6" s="24">
        <v>24.037833587718598</v>
      </c>
      <c r="E6" s="24">
        <v>20.799471178901101</v>
      </c>
      <c r="F6" s="24">
        <v>18.646889149769599</v>
      </c>
      <c r="G6" s="24">
        <v>17.3048602052924</v>
      </c>
      <c r="H6" s="24">
        <v>15.8200734212725</v>
      </c>
      <c r="I6" s="24">
        <v>12.7163231226622</v>
      </c>
      <c r="J6" s="24">
        <v>10.9669828349254</v>
      </c>
      <c r="K6" s="24">
        <v>9.7867731760376202</v>
      </c>
      <c r="L6" s="24">
        <v>8.7981426538729899</v>
      </c>
      <c r="M6" s="24">
        <v>8.0603162004008997</v>
      </c>
      <c r="N6" s="24">
        <v>7.3777154416952602</v>
      </c>
      <c r="O6" s="24">
        <v>6.6074460380091198</v>
      </c>
      <c r="P6" s="24">
        <v>6.1187146193813602</v>
      </c>
      <c r="Q6" s="24">
        <v>2.69304752115137</v>
      </c>
      <c r="R6" s="25">
        <v>1.2</v>
      </c>
    </row>
    <row r="7" spans="1:22" ht="15" x14ac:dyDescent="0.35">
      <c r="A7" s="18">
        <v>0.66889631999999999</v>
      </c>
      <c r="B7" s="23">
        <v>58.4704826824292</v>
      </c>
      <c r="C7" s="24">
        <v>33.065228174665997</v>
      </c>
      <c r="D7" s="24">
        <v>25.977025916967399</v>
      </c>
      <c r="E7" s="24">
        <v>23.406168916176</v>
      </c>
      <c r="F7" s="24">
        <v>20.515774907466898</v>
      </c>
      <c r="G7" s="24">
        <v>18.554527132954199</v>
      </c>
      <c r="H7" s="24">
        <v>17.246375738256798</v>
      </c>
      <c r="I7" s="24">
        <v>14.1483425150071</v>
      </c>
      <c r="J7" s="24">
        <v>12.0522239974015</v>
      </c>
      <c r="K7" s="24">
        <v>10.8660150823324</v>
      </c>
      <c r="L7" s="24">
        <v>9.6721717517193895</v>
      </c>
      <c r="M7" s="24">
        <v>8.9222026555481495</v>
      </c>
      <c r="N7" s="24">
        <v>8.2389767601292991</v>
      </c>
      <c r="O7" s="24">
        <v>7.6333964145062598</v>
      </c>
      <c r="P7" s="24">
        <v>7.1244192105039401</v>
      </c>
      <c r="Q7" s="24">
        <v>3.0999924770313001</v>
      </c>
      <c r="R7" s="25">
        <v>1.2</v>
      </c>
      <c r="U7" s="14" t="s">
        <v>1</v>
      </c>
      <c r="V7" s="29">
        <f>INDEX($B$1:$R$1,MATCH($V$4,$B$1:$R$1,1))</f>
        <v>2</v>
      </c>
    </row>
    <row r="8" spans="1:22" ht="15" x14ac:dyDescent="0.35">
      <c r="A8" s="18">
        <v>0.80267558999999999</v>
      </c>
      <c r="B8" s="23">
        <v>62.038697509301102</v>
      </c>
      <c r="C8" s="24">
        <v>34.9763054482518</v>
      </c>
      <c r="D8" s="24">
        <v>27.307945616430899</v>
      </c>
      <c r="E8" s="24">
        <v>24.523353367578299</v>
      </c>
      <c r="F8" s="24">
        <v>21.779983474410699</v>
      </c>
      <c r="G8" s="24">
        <v>19.7949293244058</v>
      </c>
      <c r="H8" s="24">
        <v>18.298672750685899</v>
      </c>
      <c r="I8" s="24">
        <v>14.7380841530296</v>
      </c>
      <c r="J8" s="24">
        <v>13.2750889857909</v>
      </c>
      <c r="K8" s="24">
        <v>11.8557625272383</v>
      </c>
      <c r="L8" s="24">
        <v>10.871922808772499</v>
      </c>
      <c r="M8" s="24">
        <v>10.0503802213561</v>
      </c>
      <c r="N8" s="24">
        <v>8.8076772457212904</v>
      </c>
      <c r="O8" s="24">
        <v>8.4202270726285597</v>
      </c>
      <c r="P8" s="24">
        <v>8.0196534245968607</v>
      </c>
      <c r="Q8" s="24">
        <v>3.32840243284384</v>
      </c>
      <c r="R8" s="25">
        <v>1.39997999999999</v>
      </c>
      <c r="U8" s="15" t="s">
        <v>2</v>
      </c>
      <c r="V8" s="30">
        <f>INDEX($B$1:$R$1,MATCH($V$4,$B$1:$R$1,1)+1)</f>
        <v>3</v>
      </c>
    </row>
    <row r="9" spans="1:22" ht="15" x14ac:dyDescent="0.35">
      <c r="A9" s="18">
        <v>0.93645484999999995</v>
      </c>
      <c r="B9" s="23">
        <v>64.353665581208801</v>
      </c>
      <c r="C9" s="24">
        <v>36.885621537081903</v>
      </c>
      <c r="D9" s="24">
        <v>28.009990549728101</v>
      </c>
      <c r="E9" s="24">
        <v>26.149055055333299</v>
      </c>
      <c r="F9" s="24">
        <v>22.738020455447799</v>
      </c>
      <c r="G9" s="24">
        <v>20.588306084452601</v>
      </c>
      <c r="H9" s="24">
        <v>18.831927647671399</v>
      </c>
      <c r="I9" s="24">
        <v>16.0831305009456</v>
      </c>
      <c r="J9" s="24">
        <v>14.1487132274613</v>
      </c>
      <c r="K9" s="24">
        <v>12.549849118443699</v>
      </c>
      <c r="L9" s="24">
        <v>11.6393364645843</v>
      </c>
      <c r="M9" s="24">
        <v>10.317231078352799</v>
      </c>
      <c r="N9" s="24">
        <v>10.005557518470599</v>
      </c>
      <c r="O9" s="24">
        <v>9.4094836172779406</v>
      </c>
      <c r="P9" s="24">
        <v>8.6409167903403503</v>
      </c>
      <c r="Q9" s="24">
        <v>3.60000000077821</v>
      </c>
      <c r="R9" s="25">
        <v>1.39998</v>
      </c>
      <c r="U9" s="15" t="s">
        <v>3</v>
      </c>
      <c r="V9" s="30">
        <f>INDEX($A$2:$A$301,MATCH(V5,$A$2:$A$301,1))</f>
        <v>38.929765889999999</v>
      </c>
    </row>
    <row r="10" spans="1:22" ht="15" x14ac:dyDescent="0.35">
      <c r="A10" s="18">
        <v>1.0702341099999999</v>
      </c>
      <c r="B10" s="23">
        <v>66.089944086651201</v>
      </c>
      <c r="C10" s="24">
        <v>39.014330502542897</v>
      </c>
      <c r="D10" s="24">
        <v>29.7084515164285</v>
      </c>
      <c r="E10" s="24">
        <v>26.512987305030201</v>
      </c>
      <c r="F10" s="24">
        <v>23.8347449255673</v>
      </c>
      <c r="G10" s="24">
        <v>21.5670955410354</v>
      </c>
      <c r="H10" s="24">
        <v>19.519560670744699</v>
      </c>
      <c r="I10" s="24">
        <v>16.696399128791001</v>
      </c>
      <c r="J10" s="24">
        <v>14.351059945164399</v>
      </c>
      <c r="K10" s="24">
        <v>13.2704382489331</v>
      </c>
      <c r="L10" s="24">
        <v>11.862077640159701</v>
      </c>
      <c r="M10" s="24">
        <v>11.4368552336569</v>
      </c>
      <c r="N10" s="24">
        <v>10.993998853685101</v>
      </c>
      <c r="O10" s="24">
        <v>9.9753651674425097</v>
      </c>
      <c r="P10" s="24">
        <v>9.6444827106959501</v>
      </c>
      <c r="Q10" s="24">
        <v>3.8000399952205202</v>
      </c>
      <c r="R10" s="25">
        <v>1.49182363085818</v>
      </c>
      <c r="U10" s="15" t="s">
        <v>4</v>
      </c>
      <c r="V10" s="30">
        <f>INDEX($A$2:$A$301,MATCH(V5,$A$2:$A$301,1)+1)</f>
        <v>39.063545150000003</v>
      </c>
    </row>
    <row r="11" spans="1:22" ht="15" x14ac:dyDescent="0.35">
      <c r="A11" s="18">
        <v>1.2040133799999999</v>
      </c>
      <c r="B11" s="23">
        <v>69.050257743047197</v>
      </c>
      <c r="C11" s="24">
        <v>40.301279669110698</v>
      </c>
      <c r="D11" s="24">
        <v>30.846325256014499</v>
      </c>
      <c r="E11" s="24">
        <v>26.9632152950809</v>
      </c>
      <c r="F11" s="24">
        <v>24.5683701808818</v>
      </c>
      <c r="G11" s="24">
        <v>22.304356406472799</v>
      </c>
      <c r="H11" s="24">
        <v>20.2400587945639</v>
      </c>
      <c r="I11" s="24">
        <v>17.2748304018514</v>
      </c>
      <c r="J11" s="24">
        <v>15.2438505912043</v>
      </c>
      <c r="K11" s="24">
        <v>14.213767329712301</v>
      </c>
      <c r="L11" s="24">
        <v>12.672663776109101</v>
      </c>
      <c r="M11" s="24">
        <v>12.0071558712682</v>
      </c>
      <c r="N11" s="24">
        <v>11.376904760085401</v>
      </c>
      <c r="O11" s="24">
        <v>11.091026350798501</v>
      </c>
      <c r="P11" s="24">
        <v>10.635502353101</v>
      </c>
      <c r="Q11" s="24">
        <v>3.95570875406605</v>
      </c>
      <c r="R11" s="25">
        <v>1.60002</v>
      </c>
      <c r="U11" s="15" t="s">
        <v>7</v>
      </c>
      <c r="V11" s="30">
        <f>INDEX($B$2:$R$301,MATCH($V$9,$A$2:$A$301,0),MATCH($V$7,$B$1:$R$1,0))</f>
        <v>78.692547531425305</v>
      </c>
    </row>
    <row r="12" spans="1:22" ht="15" x14ac:dyDescent="0.35">
      <c r="A12" s="18">
        <v>1.33779264</v>
      </c>
      <c r="B12" s="23">
        <v>73.737355349300501</v>
      </c>
      <c r="C12" s="24">
        <v>41.423141488770703</v>
      </c>
      <c r="D12" s="24">
        <v>32.199913808121003</v>
      </c>
      <c r="E12" s="24">
        <v>27.6426144427226</v>
      </c>
      <c r="F12" s="24">
        <v>24.9801779725261</v>
      </c>
      <c r="G12" s="24">
        <v>22.887781672591199</v>
      </c>
      <c r="H12" s="24">
        <v>20.798972405165099</v>
      </c>
      <c r="I12" s="24">
        <v>17.5160730905693</v>
      </c>
      <c r="J12" s="24">
        <v>16.066305256500399</v>
      </c>
      <c r="K12" s="24">
        <v>15.0475414195404</v>
      </c>
      <c r="L12" s="24">
        <v>13.857301994818901</v>
      </c>
      <c r="M12" s="24">
        <v>13.1743335923376</v>
      </c>
      <c r="N12" s="24">
        <v>11.9359935358619</v>
      </c>
      <c r="O12" s="24">
        <v>11.3728920142409</v>
      </c>
      <c r="P12" s="24">
        <v>11.0553334924313</v>
      </c>
      <c r="Q12" s="24">
        <v>4.2999599963142199</v>
      </c>
      <c r="R12" s="25">
        <v>1.60002</v>
      </c>
      <c r="U12" s="15" t="s">
        <v>5</v>
      </c>
      <c r="V12" s="30">
        <f>INDEX($B$2:$R$301,MATCH($V$10,$A$2:$A$301,0),MATCH($V$7,$B$1:$R$1,0))</f>
        <v>78.834828450773998</v>
      </c>
    </row>
    <row r="13" spans="1:22" ht="15" x14ac:dyDescent="0.35">
      <c r="A13" s="18">
        <v>1.47157191</v>
      </c>
      <c r="B13" s="23">
        <v>74.842020220151099</v>
      </c>
      <c r="C13" s="24">
        <v>44.2586668138307</v>
      </c>
      <c r="D13" s="24">
        <v>33.440035289503399</v>
      </c>
      <c r="E13" s="24">
        <v>29.5393679841827</v>
      </c>
      <c r="F13" s="24">
        <v>25.8928562352258</v>
      </c>
      <c r="G13" s="24">
        <v>24.468290071950399</v>
      </c>
      <c r="H13" s="24">
        <v>21.138204265279001</v>
      </c>
      <c r="I13" s="24">
        <v>18.492039537582102</v>
      </c>
      <c r="J13" s="24">
        <v>17.255204066989801</v>
      </c>
      <c r="K13" s="24">
        <v>15.2065145753874</v>
      </c>
      <c r="L13" s="24">
        <v>14.3754838848955</v>
      </c>
      <c r="M13" s="24">
        <v>13.4302604916556</v>
      </c>
      <c r="N13" s="24">
        <v>12.633420679929401</v>
      </c>
      <c r="O13" s="24">
        <v>11.955585289883199</v>
      </c>
      <c r="P13" s="24">
        <v>11.300352331062401</v>
      </c>
      <c r="Q13" s="24">
        <v>4.54205382105153</v>
      </c>
      <c r="R13" s="25">
        <v>1.60002</v>
      </c>
      <c r="U13" s="15" t="s">
        <v>8</v>
      </c>
      <c r="V13" s="30">
        <f>INDEX($B$2:$R$301,MATCH($V$9,$A$2:$A$301,0),MATCH($V$8,$B$1:$R$1,0))</f>
        <v>75.232836756989499</v>
      </c>
    </row>
    <row r="14" spans="1:22" ht="15" x14ac:dyDescent="0.35">
      <c r="A14" s="18">
        <v>1.60535117</v>
      </c>
      <c r="B14" s="23">
        <v>75.588658809441696</v>
      </c>
      <c r="C14" s="24">
        <v>44.447352743464897</v>
      </c>
      <c r="D14" s="24">
        <v>34.272193184102399</v>
      </c>
      <c r="E14" s="24">
        <v>30.234308638478499</v>
      </c>
      <c r="F14" s="24">
        <v>26.783438522788099</v>
      </c>
      <c r="G14" s="24">
        <v>24.618960419574201</v>
      </c>
      <c r="H14" s="24">
        <v>22.848303580400199</v>
      </c>
      <c r="I14" s="24">
        <v>18.755867653775699</v>
      </c>
      <c r="J14" s="24">
        <v>17.655896398740602</v>
      </c>
      <c r="K14" s="24">
        <v>15.903939569449401</v>
      </c>
      <c r="L14" s="24">
        <v>14.6911329138811</v>
      </c>
      <c r="M14" s="24">
        <v>13.6648453576618</v>
      </c>
      <c r="N14" s="24">
        <v>12.885759813539099</v>
      </c>
      <c r="O14" s="24">
        <v>12.308673468073099</v>
      </c>
      <c r="P14" s="24">
        <v>11.709541659508201</v>
      </c>
      <c r="Q14" s="24">
        <v>4.7634852497018603</v>
      </c>
      <c r="R14" s="25">
        <v>1.60002</v>
      </c>
      <c r="U14" s="15" t="s">
        <v>9</v>
      </c>
      <c r="V14" s="30">
        <f>INDEX($B$2:$R$301,MATCH($V$10,$A$2:$A$301,0),MATCH($V$8,$B$1:$R$1,0))</f>
        <v>75.388925749268907</v>
      </c>
    </row>
    <row r="15" spans="1:22" ht="15.6" thickBot="1" x14ac:dyDescent="0.4">
      <c r="A15" s="18">
        <v>1.7391304299999999</v>
      </c>
      <c r="B15" s="23">
        <v>76.074018874604903</v>
      </c>
      <c r="C15" s="24">
        <v>45.378624245332198</v>
      </c>
      <c r="D15" s="24">
        <v>34.528148900276001</v>
      </c>
      <c r="E15" s="24">
        <v>30.575946138171901</v>
      </c>
      <c r="F15" s="24">
        <v>27.547912787697602</v>
      </c>
      <c r="G15" s="24">
        <v>25.7577512529869</v>
      </c>
      <c r="H15" s="24">
        <v>23.716960665995</v>
      </c>
      <c r="I15" s="24">
        <v>20.366342148158299</v>
      </c>
      <c r="J15" s="24">
        <v>17.982918566440599</v>
      </c>
      <c r="K15" s="24">
        <v>16.701308744560802</v>
      </c>
      <c r="L15" s="24">
        <v>14.8962731954591</v>
      </c>
      <c r="M15" s="24">
        <v>14.2544180533052</v>
      </c>
      <c r="N15" s="24">
        <v>13.129391353088099</v>
      </c>
      <c r="O15" s="24">
        <v>12.6757724814826</v>
      </c>
      <c r="P15" s="24">
        <v>12.4442237331155</v>
      </c>
      <c r="Q15" s="24">
        <v>5.0525117618904698</v>
      </c>
      <c r="R15" s="25">
        <v>1.60002</v>
      </c>
      <c r="U15" s="16" t="s">
        <v>6</v>
      </c>
      <c r="V15" s="31">
        <f>1/((V8-V7)*(V10-V9))*(V11*(V8-V4)*(V10-V5)+V13*(V4-V7)*(V10-V5)+V12*(V8-V4)*(V5-V9)+V14*(V4-V7)*(V5-V9))</f>
        <v>76.868391167521949</v>
      </c>
    </row>
    <row r="16" spans="1:22" x14ac:dyDescent="0.3">
      <c r="A16" s="18">
        <v>1.8729096999999999</v>
      </c>
      <c r="B16" s="23">
        <v>76.504756716489297</v>
      </c>
      <c r="C16" s="24">
        <v>46.383153931171101</v>
      </c>
      <c r="D16" s="24">
        <v>35.227877890170703</v>
      </c>
      <c r="E16" s="24">
        <v>31.128829318309801</v>
      </c>
      <c r="F16" s="24">
        <v>28.947853965011799</v>
      </c>
      <c r="G16" s="24">
        <v>26.145617865597</v>
      </c>
      <c r="H16" s="24">
        <v>24.1026712400759</v>
      </c>
      <c r="I16" s="24">
        <v>21.0141209279729</v>
      </c>
      <c r="J16" s="24">
        <v>18.4986647594583</v>
      </c>
      <c r="K16" s="24">
        <v>16.834779323137699</v>
      </c>
      <c r="L16" s="24">
        <v>15.467308409414301</v>
      </c>
      <c r="M16" s="24">
        <v>14.6402530762351</v>
      </c>
      <c r="N16" s="24">
        <v>13.8058674816179</v>
      </c>
      <c r="O16" s="24">
        <v>13.283828747611301</v>
      </c>
      <c r="P16" s="24">
        <v>12.8395642098276</v>
      </c>
      <c r="Q16" s="24">
        <v>5.24731409870361</v>
      </c>
      <c r="R16" s="25">
        <v>1.6236599558631</v>
      </c>
    </row>
    <row r="17" spans="1:18" x14ac:dyDescent="0.3">
      <c r="A17" s="18">
        <v>2.00668896</v>
      </c>
      <c r="B17" s="23">
        <v>78.969025623537902</v>
      </c>
      <c r="C17" s="24">
        <v>48.014995497337601</v>
      </c>
      <c r="D17" s="24">
        <v>35.600060640387497</v>
      </c>
      <c r="E17" s="24">
        <v>33.169756218177298</v>
      </c>
      <c r="F17" s="24">
        <v>30.062166739450099</v>
      </c>
      <c r="G17" s="24">
        <v>26.303540408714799</v>
      </c>
      <c r="H17" s="24">
        <v>25.057105488160602</v>
      </c>
      <c r="I17" s="24">
        <v>22.395227261887602</v>
      </c>
      <c r="J17" s="24">
        <v>19.255723451770699</v>
      </c>
      <c r="K17" s="24">
        <v>16.914544558370999</v>
      </c>
      <c r="L17" s="24">
        <v>15.697563017410101</v>
      </c>
      <c r="M17" s="24">
        <v>14.805789424981</v>
      </c>
      <c r="N17" s="24">
        <v>14.2214233792694</v>
      </c>
      <c r="O17" s="24">
        <v>13.606003579592199</v>
      </c>
      <c r="P17" s="24">
        <v>13.0022569221697</v>
      </c>
      <c r="Q17" s="24">
        <v>5.85123382065182</v>
      </c>
      <c r="R17" s="25">
        <v>1.7999999999999901</v>
      </c>
    </row>
    <row r="18" spans="1:18" x14ac:dyDescent="0.3">
      <c r="A18" s="18">
        <v>2.1404682300000002</v>
      </c>
      <c r="B18" s="23">
        <v>81.809382994452406</v>
      </c>
      <c r="C18" s="24">
        <v>48.377368137899097</v>
      </c>
      <c r="D18" s="24">
        <v>35.859431771114501</v>
      </c>
      <c r="E18" s="24">
        <v>33.358842017433098</v>
      </c>
      <c r="F18" s="24">
        <v>30.593766613279001</v>
      </c>
      <c r="G18" s="24">
        <v>26.530798397078101</v>
      </c>
      <c r="H18" s="24">
        <v>25.404600034990899</v>
      </c>
      <c r="I18" s="24">
        <v>22.7423534000792</v>
      </c>
      <c r="J18" s="24">
        <v>19.884682934202999</v>
      </c>
      <c r="K18" s="24">
        <v>17.055964230970801</v>
      </c>
      <c r="L18" s="24">
        <v>16.025313235536899</v>
      </c>
      <c r="M18" s="24">
        <v>15.1983721724229</v>
      </c>
      <c r="N18" s="24">
        <v>14.489270751341</v>
      </c>
      <c r="O18" s="24">
        <v>13.9245630164964</v>
      </c>
      <c r="P18" s="24">
        <v>13.149562443605999</v>
      </c>
      <c r="Q18" s="24">
        <v>6.1723031759776301</v>
      </c>
      <c r="R18" s="25">
        <v>1.7999999999999901</v>
      </c>
    </row>
    <row r="19" spans="1:18" x14ac:dyDescent="0.3">
      <c r="A19" s="18">
        <v>2.27424749</v>
      </c>
      <c r="B19" s="23">
        <v>82.723543981147898</v>
      </c>
      <c r="C19" s="24">
        <v>49.363010193139999</v>
      </c>
      <c r="D19" s="24">
        <v>36.523212711862698</v>
      </c>
      <c r="E19" s="24">
        <v>33.502293049165999</v>
      </c>
      <c r="F19" s="24">
        <v>31.366959051469401</v>
      </c>
      <c r="G19" s="24">
        <v>27.865013640292801</v>
      </c>
      <c r="H19" s="24">
        <v>25.615022783869101</v>
      </c>
      <c r="I19" s="24">
        <v>23.273256496023901</v>
      </c>
      <c r="J19" s="24">
        <v>21.0486584375757</v>
      </c>
      <c r="K19" s="24">
        <v>18.152526385972902</v>
      </c>
      <c r="L19" s="24">
        <v>16.2657904420129</v>
      </c>
      <c r="M19" s="24">
        <v>15.521916405540001</v>
      </c>
      <c r="N19" s="24">
        <v>14.533139957664</v>
      </c>
      <c r="O19" s="24">
        <v>14.200554118488601</v>
      </c>
      <c r="P19" s="24">
        <v>13.3755210546628</v>
      </c>
      <c r="Q19" s="24">
        <v>6.2798659803041001</v>
      </c>
      <c r="R19" s="25">
        <v>1.7999999999999901</v>
      </c>
    </row>
    <row r="20" spans="1:18" x14ac:dyDescent="0.3">
      <c r="A20" s="18">
        <v>2.4080267599999998</v>
      </c>
      <c r="B20" s="23">
        <v>82.851687055424307</v>
      </c>
      <c r="C20" s="24">
        <v>50.439252118892497</v>
      </c>
      <c r="D20" s="24">
        <v>37.235166604704702</v>
      </c>
      <c r="E20" s="24">
        <v>34.046411176183597</v>
      </c>
      <c r="F20" s="24">
        <v>31.598034224102101</v>
      </c>
      <c r="G20" s="24">
        <v>28.4782203751449</v>
      </c>
      <c r="H20" s="24">
        <v>26.918012779363998</v>
      </c>
      <c r="I20" s="24">
        <v>23.8025283526975</v>
      </c>
      <c r="J20" s="24">
        <v>21.3847416720407</v>
      </c>
      <c r="K20" s="24">
        <v>18.562798218476399</v>
      </c>
      <c r="L20" s="24">
        <v>16.778019244758401</v>
      </c>
      <c r="M20" s="24">
        <v>15.6423400302657</v>
      </c>
      <c r="N20" s="24">
        <v>14.7480776166253</v>
      </c>
      <c r="O20" s="24">
        <v>14.3325764032605</v>
      </c>
      <c r="P20" s="24">
        <v>13.6454224144028</v>
      </c>
      <c r="Q20" s="24">
        <v>6.3000000025995204</v>
      </c>
      <c r="R20" s="25">
        <v>1.7999999999999901</v>
      </c>
    </row>
    <row r="21" spans="1:18" x14ac:dyDescent="0.3">
      <c r="A21" s="18">
        <v>2.5418060200000001</v>
      </c>
      <c r="B21" s="23">
        <v>84.274470633432301</v>
      </c>
      <c r="C21" s="24">
        <v>50.945876228274997</v>
      </c>
      <c r="D21" s="24">
        <v>38.0177051781587</v>
      </c>
      <c r="E21" s="24">
        <v>34.5913759988184</v>
      </c>
      <c r="F21" s="24">
        <v>31.6318944315564</v>
      </c>
      <c r="G21" s="24">
        <v>28.868794136043199</v>
      </c>
      <c r="H21" s="24">
        <v>27.415848959175499</v>
      </c>
      <c r="I21" s="24">
        <v>24.127045549359099</v>
      </c>
      <c r="J21" s="24">
        <v>21.670874681617299</v>
      </c>
      <c r="K21" s="24">
        <v>19.056192443988799</v>
      </c>
      <c r="L21" s="24">
        <v>17.895065225417099</v>
      </c>
      <c r="M21" s="24">
        <v>15.724219877846499</v>
      </c>
      <c r="N21" s="24">
        <v>14.9364036417475</v>
      </c>
      <c r="O21" s="24">
        <v>14.363959162337199</v>
      </c>
      <c r="P21" s="24">
        <v>13.912753496529</v>
      </c>
      <c r="Q21" s="24">
        <v>6.4204719813333302</v>
      </c>
      <c r="R21" s="25">
        <v>1.7999999999999901</v>
      </c>
    </row>
    <row r="22" spans="1:18" x14ac:dyDescent="0.3">
      <c r="A22" s="18">
        <v>2.67558528</v>
      </c>
      <c r="B22" s="23">
        <v>87.129273979606495</v>
      </c>
      <c r="C22" s="24">
        <v>51.113559484412697</v>
      </c>
      <c r="D22" s="24">
        <v>38.713623688321903</v>
      </c>
      <c r="E22" s="24">
        <v>35.279208631172999</v>
      </c>
      <c r="F22" s="24">
        <v>31.658473526841401</v>
      </c>
      <c r="G22" s="24">
        <v>29.4118119233516</v>
      </c>
      <c r="H22" s="24">
        <v>27.573345856695699</v>
      </c>
      <c r="I22" s="24">
        <v>24.3372384048008</v>
      </c>
      <c r="J22" s="24">
        <v>21.887746225766598</v>
      </c>
      <c r="K22" s="24">
        <v>19.735958858030099</v>
      </c>
      <c r="L22" s="24">
        <v>18.784004089615198</v>
      </c>
      <c r="M22" s="24">
        <v>16.5236567727916</v>
      </c>
      <c r="N22" s="24">
        <v>15.492848703502</v>
      </c>
      <c r="O22" s="24">
        <v>14.530990148202999</v>
      </c>
      <c r="P22" s="24">
        <v>14.1067117416901</v>
      </c>
      <c r="Q22" s="24">
        <v>6.5001600058715496</v>
      </c>
      <c r="R22" s="25">
        <v>1.7999999999999901</v>
      </c>
    </row>
    <row r="23" spans="1:18" x14ac:dyDescent="0.3">
      <c r="A23" s="18">
        <v>2.8093645500000002</v>
      </c>
      <c r="B23" s="23">
        <v>90.506088551215598</v>
      </c>
      <c r="C23" s="24">
        <v>51.384457742949898</v>
      </c>
      <c r="D23" s="24">
        <v>39.240658152544498</v>
      </c>
      <c r="E23" s="24">
        <v>36.056491718097497</v>
      </c>
      <c r="F23" s="24">
        <v>31.720677978608698</v>
      </c>
      <c r="G23" s="24">
        <v>30.006116797710199</v>
      </c>
      <c r="H23" s="24">
        <v>27.7802758547883</v>
      </c>
      <c r="I23" s="24">
        <v>24.491408299551502</v>
      </c>
      <c r="J23" s="24">
        <v>21.963205405237101</v>
      </c>
      <c r="K23" s="24">
        <v>20.4058582442043</v>
      </c>
      <c r="L23" s="24">
        <v>19.214218395607901</v>
      </c>
      <c r="M23" s="24">
        <v>17.826454758009699</v>
      </c>
      <c r="N23" s="24">
        <v>16.342332953841499</v>
      </c>
      <c r="O23" s="24">
        <v>14.891418242416901</v>
      </c>
      <c r="P23" s="24">
        <v>14.2921272003084</v>
      </c>
      <c r="Q23" s="24">
        <v>6.5308827450712901</v>
      </c>
      <c r="R23" s="25">
        <v>1.8</v>
      </c>
    </row>
    <row r="24" spans="1:18" x14ac:dyDescent="0.3">
      <c r="A24" s="18">
        <v>2.94314381</v>
      </c>
      <c r="B24" s="23">
        <v>91.395836577470604</v>
      </c>
      <c r="C24" s="24">
        <v>53.360890968733599</v>
      </c>
      <c r="D24" s="24">
        <v>39.354912349864399</v>
      </c>
      <c r="E24" s="24">
        <v>36.295984656549102</v>
      </c>
      <c r="F24" s="24">
        <v>31.970595025019399</v>
      </c>
      <c r="G24" s="24">
        <v>30.029430930523901</v>
      </c>
      <c r="H24" s="24">
        <v>27.9896547043647</v>
      </c>
      <c r="I24" s="24">
        <v>24.565385837344401</v>
      </c>
      <c r="J24" s="24">
        <v>22.047046614844401</v>
      </c>
      <c r="K24" s="24">
        <v>20.530648634992001</v>
      </c>
      <c r="L24" s="24">
        <v>19.225875462799898</v>
      </c>
      <c r="M24" s="24">
        <v>17.909399274110498</v>
      </c>
      <c r="N24" s="24">
        <v>16.651207859104598</v>
      </c>
      <c r="O24" s="24">
        <v>15.5650248249389</v>
      </c>
      <c r="P24" s="24">
        <v>14.878118968345699</v>
      </c>
      <c r="Q24" s="24">
        <v>6.7798657276631999</v>
      </c>
      <c r="R24" s="25">
        <v>1.8</v>
      </c>
    </row>
    <row r="25" spans="1:18" x14ac:dyDescent="0.3">
      <c r="A25" s="18">
        <v>3.0769230799999998</v>
      </c>
      <c r="B25" s="23">
        <v>92.219624501364706</v>
      </c>
      <c r="C25" s="24">
        <v>54.582768798135398</v>
      </c>
      <c r="D25" s="24">
        <v>39.685895754384099</v>
      </c>
      <c r="E25" s="24">
        <v>36.452889360169401</v>
      </c>
      <c r="F25" s="24">
        <v>32.140749513898797</v>
      </c>
      <c r="G25" s="24">
        <v>30.076295140231998</v>
      </c>
      <c r="H25" s="24">
        <v>28.148834270335598</v>
      </c>
      <c r="I25" s="24">
        <v>24.632303324434002</v>
      </c>
      <c r="J25" s="24">
        <v>22.151620510408598</v>
      </c>
      <c r="K25" s="24">
        <v>20.609819384612901</v>
      </c>
      <c r="L25" s="24">
        <v>19.2351460351185</v>
      </c>
      <c r="M25" s="24">
        <v>17.963457240332701</v>
      </c>
      <c r="N25" s="24">
        <v>16.910499438975101</v>
      </c>
      <c r="O25" s="24">
        <v>16.0489905890188</v>
      </c>
      <c r="P25" s="24">
        <v>15.2545465450347</v>
      </c>
      <c r="Q25" s="24">
        <v>6.927627015793</v>
      </c>
      <c r="R25" s="25">
        <v>1.85523744245524</v>
      </c>
    </row>
    <row r="26" spans="1:18" x14ac:dyDescent="0.3">
      <c r="A26" s="18">
        <v>3.2107023400000001</v>
      </c>
      <c r="B26" s="23">
        <v>92.9819133926229</v>
      </c>
      <c r="C26" s="24">
        <v>55.101123963277601</v>
      </c>
      <c r="D26" s="24">
        <v>40.218950352089998</v>
      </c>
      <c r="E26" s="24">
        <v>36.532791506676702</v>
      </c>
      <c r="F26" s="24">
        <v>32.236536014355501</v>
      </c>
      <c r="G26" s="24">
        <v>30.145116668010601</v>
      </c>
      <c r="H26" s="24">
        <v>28.2612096733314</v>
      </c>
      <c r="I26" s="24">
        <v>24.692638252172198</v>
      </c>
      <c r="J26" s="24">
        <v>22.275524881285499</v>
      </c>
      <c r="K26" s="24">
        <v>20.646455879426</v>
      </c>
      <c r="L26" s="24">
        <v>19.242191518014099</v>
      </c>
      <c r="M26" s="24">
        <v>17.990582336378001</v>
      </c>
      <c r="N26" s="24">
        <v>17.123561155073599</v>
      </c>
      <c r="O26" s="24">
        <v>16.3561414837299</v>
      </c>
      <c r="P26" s="24">
        <v>15.4355833539451</v>
      </c>
      <c r="Q26" s="24">
        <v>6.9810125211634304</v>
      </c>
      <c r="R26" s="25">
        <v>1.96197646169242</v>
      </c>
    </row>
    <row r="27" spans="1:18" x14ac:dyDescent="0.3">
      <c r="A27" s="18">
        <v>3.3444816099999999</v>
      </c>
      <c r="B27" s="23">
        <v>93.786451864337295</v>
      </c>
      <c r="C27" s="24">
        <v>55.544480689971103</v>
      </c>
      <c r="D27" s="24">
        <v>40.727027679648302</v>
      </c>
      <c r="E27" s="24">
        <v>36.940410669084201</v>
      </c>
      <c r="F27" s="24">
        <v>32.358744961096498</v>
      </c>
      <c r="G27" s="24">
        <v>30.451018416725098</v>
      </c>
      <c r="H27" s="24">
        <v>28.569007430118099</v>
      </c>
      <c r="I27" s="24">
        <v>24.7202623943666</v>
      </c>
      <c r="J27" s="24">
        <v>22.338398731253701</v>
      </c>
      <c r="K27" s="24">
        <v>20.712059345252101</v>
      </c>
      <c r="L27" s="24">
        <v>19.268990377361799</v>
      </c>
      <c r="M27" s="24">
        <v>18.132214217164002</v>
      </c>
      <c r="N27" s="24">
        <v>17.3624726389491</v>
      </c>
      <c r="O27" s="24">
        <v>16.571526093892398</v>
      </c>
      <c r="P27" s="24">
        <v>15.5696828808753</v>
      </c>
      <c r="Q27" s="24">
        <v>7.0291091172915703</v>
      </c>
      <c r="R27" s="25">
        <v>1.9999799999999901</v>
      </c>
    </row>
    <row r="28" spans="1:18" x14ac:dyDescent="0.3">
      <c r="A28" s="18">
        <v>3.4782608700000002</v>
      </c>
      <c r="B28" s="23">
        <v>94.614349939092705</v>
      </c>
      <c r="C28" s="24">
        <v>55.946371117308701</v>
      </c>
      <c r="D28" s="24">
        <v>41.221295186862797</v>
      </c>
      <c r="E28" s="24">
        <v>37.5292230958636</v>
      </c>
      <c r="F28" s="24">
        <v>32.495562759568102</v>
      </c>
      <c r="G28" s="24">
        <v>30.888000753462801</v>
      </c>
      <c r="H28" s="24">
        <v>28.9848533275159</v>
      </c>
      <c r="I28" s="24">
        <v>24.729800890331699</v>
      </c>
      <c r="J28" s="24">
        <v>22.367529080661299</v>
      </c>
      <c r="K28" s="24">
        <v>20.793678519089099</v>
      </c>
      <c r="L28" s="24">
        <v>19.306710789720501</v>
      </c>
      <c r="M28" s="24">
        <v>18.337156384304699</v>
      </c>
      <c r="N28" s="24">
        <v>17.6156763431838</v>
      </c>
      <c r="O28" s="24">
        <v>16.736173537994102</v>
      </c>
      <c r="P28" s="24">
        <v>15.677830995672201</v>
      </c>
      <c r="Q28" s="24">
        <v>7.0742814992834804</v>
      </c>
      <c r="R28" s="25">
        <v>1.9999799999999901</v>
      </c>
    </row>
    <row r="29" spans="1:18" x14ac:dyDescent="0.3">
      <c r="A29" s="18">
        <v>3.61204013</v>
      </c>
      <c r="B29" s="23">
        <v>95.292884424536595</v>
      </c>
      <c r="C29" s="24">
        <v>56.284575497391103</v>
      </c>
      <c r="D29" s="24">
        <v>41.783468468783703</v>
      </c>
      <c r="E29" s="24">
        <v>38.017192972479599</v>
      </c>
      <c r="F29" s="24">
        <v>32.631732265229303</v>
      </c>
      <c r="G29" s="24">
        <v>31.1990298640068</v>
      </c>
      <c r="H29" s="24">
        <v>29.335974744311201</v>
      </c>
      <c r="I29" s="24">
        <v>24.8228954181814</v>
      </c>
      <c r="J29" s="24">
        <v>22.457043841922498</v>
      </c>
      <c r="K29" s="24">
        <v>20.919305914692099</v>
      </c>
      <c r="L29" s="24">
        <v>19.357373770829099</v>
      </c>
      <c r="M29" s="24">
        <v>18.483513444228301</v>
      </c>
      <c r="N29" s="24">
        <v>17.763990518692701</v>
      </c>
      <c r="O29" s="24">
        <v>16.8646776788671</v>
      </c>
      <c r="P29" s="24">
        <v>15.775165817515701</v>
      </c>
      <c r="Q29" s="24">
        <v>7.1485552345160297</v>
      </c>
      <c r="R29" s="25">
        <v>1.9999799999999901</v>
      </c>
    </row>
    <row r="30" spans="1:18" x14ac:dyDescent="0.3">
      <c r="A30" s="18">
        <v>3.7458193999999998</v>
      </c>
      <c r="B30" s="23">
        <v>95.773241625166705</v>
      </c>
      <c r="C30" s="24">
        <v>56.538280515991097</v>
      </c>
      <c r="D30" s="24">
        <v>42.435739893876601</v>
      </c>
      <c r="E30" s="24">
        <v>38.371363822992997</v>
      </c>
      <c r="F30" s="24">
        <v>32.767041608721698</v>
      </c>
      <c r="G30" s="24">
        <v>31.342942821975399</v>
      </c>
      <c r="H30" s="24">
        <v>29.601218994617</v>
      </c>
      <c r="I30" s="24">
        <v>25.0268530258822</v>
      </c>
      <c r="J30" s="24">
        <v>22.626677317800901</v>
      </c>
      <c r="K30" s="24">
        <v>21.103323912310799</v>
      </c>
      <c r="L30" s="24">
        <v>19.4252090972541</v>
      </c>
      <c r="M30" s="24">
        <v>18.552139127098702</v>
      </c>
      <c r="N30" s="24">
        <v>17.773136091571601</v>
      </c>
      <c r="O30" s="24">
        <v>16.945226479813702</v>
      </c>
      <c r="P30" s="24">
        <v>15.858153441040599</v>
      </c>
      <c r="Q30" s="24">
        <v>7.2614409714835304</v>
      </c>
      <c r="R30" s="25">
        <v>1.9999800000000001</v>
      </c>
    </row>
    <row r="31" spans="1:18" x14ac:dyDescent="0.3">
      <c r="A31" s="18">
        <v>3.8795986600000001</v>
      </c>
      <c r="B31" s="23">
        <v>96.253598825796701</v>
      </c>
      <c r="C31" s="24">
        <v>56.791985534590999</v>
      </c>
      <c r="D31" s="24">
        <v>43.0880113189695</v>
      </c>
      <c r="E31" s="24">
        <v>38.725534673506303</v>
      </c>
      <c r="F31" s="24">
        <v>32.9023509522141</v>
      </c>
      <c r="G31" s="24">
        <v>31.486855779944001</v>
      </c>
      <c r="H31" s="24">
        <v>29.866463244922699</v>
      </c>
      <c r="I31" s="24">
        <v>25.230810633582902</v>
      </c>
      <c r="J31" s="24">
        <v>22.7963107936793</v>
      </c>
      <c r="K31" s="24">
        <v>21.287341909929399</v>
      </c>
      <c r="L31" s="24">
        <v>19.493044423679098</v>
      </c>
      <c r="M31" s="24">
        <v>18.620764809969099</v>
      </c>
      <c r="N31" s="24">
        <v>17.782281664450501</v>
      </c>
      <c r="O31" s="24">
        <v>17.0257752807603</v>
      </c>
      <c r="P31" s="24">
        <v>15.941141064565601</v>
      </c>
      <c r="Q31" s="24">
        <v>7.3743267084510196</v>
      </c>
      <c r="R31" s="25">
        <v>1.9999800000000001</v>
      </c>
    </row>
    <row r="32" spans="1:18" x14ac:dyDescent="0.3">
      <c r="A32" s="18">
        <v>4.0133779299999999</v>
      </c>
      <c r="B32" s="23">
        <v>97.427472266183003</v>
      </c>
      <c r="C32" s="24">
        <v>57.535148283953298</v>
      </c>
      <c r="D32" s="24">
        <v>43.466432236977198</v>
      </c>
      <c r="E32" s="24">
        <v>39.0604692983758</v>
      </c>
      <c r="F32" s="24">
        <v>33.090206951741202</v>
      </c>
      <c r="G32" s="24">
        <v>31.596700026816599</v>
      </c>
      <c r="H32" s="24">
        <v>30.0307498278403</v>
      </c>
      <c r="I32" s="24">
        <v>26.062808974235899</v>
      </c>
      <c r="J32" s="24">
        <v>22.946294002455499</v>
      </c>
      <c r="K32" s="24">
        <v>21.500601318547201</v>
      </c>
      <c r="L32" s="24">
        <v>19.535015701973499</v>
      </c>
      <c r="M32" s="24">
        <v>18.649138143694302</v>
      </c>
      <c r="N32" s="24">
        <v>17.925148041032202</v>
      </c>
      <c r="O32" s="24">
        <v>17.1727609257978</v>
      </c>
      <c r="P32" s="24">
        <v>16.039038904246201</v>
      </c>
      <c r="Q32" s="24">
        <v>7.4951664703421903</v>
      </c>
      <c r="R32" s="25">
        <v>2.0951664816224498</v>
      </c>
    </row>
    <row r="33" spans="1:18" x14ac:dyDescent="0.3">
      <c r="A33" s="18">
        <v>4.1471571899999997</v>
      </c>
      <c r="B33" s="23">
        <v>98.805294675167801</v>
      </c>
      <c r="C33" s="24">
        <v>58.4222505600912</v>
      </c>
      <c r="D33" s="24">
        <v>43.764319311264202</v>
      </c>
      <c r="E33" s="24">
        <v>39.389746941973797</v>
      </c>
      <c r="F33" s="24">
        <v>33.293515850115199</v>
      </c>
      <c r="G33" s="24">
        <v>31.696525361238098</v>
      </c>
      <c r="H33" s="24">
        <v>30.1653468217396</v>
      </c>
      <c r="I33" s="24">
        <v>27.0795012735604</v>
      </c>
      <c r="J33" s="24">
        <v>23.0904984688196</v>
      </c>
      <c r="K33" s="24">
        <v>21.722460029202701</v>
      </c>
      <c r="L33" s="24">
        <v>19.569380891704</v>
      </c>
      <c r="M33" s="24">
        <v>18.665674083251702</v>
      </c>
      <c r="N33" s="24">
        <v>18.107338976192199</v>
      </c>
      <c r="O33" s="24">
        <v>17.3392842904336</v>
      </c>
      <c r="P33" s="24">
        <v>16.141321534119498</v>
      </c>
      <c r="Q33" s="24">
        <v>7.6183453485891102</v>
      </c>
      <c r="R33" s="25">
        <v>2.2183453643431998</v>
      </c>
    </row>
    <row r="34" spans="1:18" x14ac:dyDescent="0.3">
      <c r="A34" s="18">
        <v>4.2809364499999996</v>
      </c>
      <c r="B34" s="23">
        <v>100.183117084152</v>
      </c>
      <c r="C34" s="24">
        <v>59.309352836229003</v>
      </c>
      <c r="D34" s="24">
        <v>44.062206385551299</v>
      </c>
      <c r="E34" s="24">
        <v>39.719024585571702</v>
      </c>
      <c r="F34" s="24">
        <v>33.496824748489203</v>
      </c>
      <c r="G34" s="24">
        <v>31.796350695659601</v>
      </c>
      <c r="H34" s="24">
        <v>30.299943815638802</v>
      </c>
      <c r="I34" s="24">
        <v>28.0961935728848</v>
      </c>
      <c r="J34" s="24">
        <v>23.234702935183702</v>
      </c>
      <c r="K34" s="24">
        <v>21.9443187398582</v>
      </c>
      <c r="L34" s="24">
        <v>19.603746081434501</v>
      </c>
      <c r="M34" s="24">
        <v>18.682210022809102</v>
      </c>
      <c r="N34" s="24">
        <v>18.289529911352201</v>
      </c>
      <c r="O34" s="24">
        <v>17.5058076550694</v>
      </c>
      <c r="P34" s="24">
        <v>16.243604163992899</v>
      </c>
      <c r="Q34" s="24">
        <v>7.7415242268360398</v>
      </c>
      <c r="R34" s="25">
        <v>2.3415242470639499</v>
      </c>
    </row>
    <row r="35" spans="1:18" x14ac:dyDescent="0.3">
      <c r="A35" s="18">
        <v>4.4147157200000002</v>
      </c>
      <c r="B35" s="23">
        <v>100.86829476944099</v>
      </c>
      <c r="C35" s="24">
        <v>59.888810994647002</v>
      </c>
      <c r="D35" s="24">
        <v>44.274140296825102</v>
      </c>
      <c r="E35" s="24">
        <v>40.100689733819102</v>
      </c>
      <c r="F35" s="24">
        <v>33.637594728517897</v>
      </c>
      <c r="G35" s="24">
        <v>31.866799042804399</v>
      </c>
      <c r="H35" s="24">
        <v>30.497861949733402</v>
      </c>
      <c r="I35" s="24">
        <v>28.768669491720001</v>
      </c>
      <c r="J35" s="24">
        <v>23.746196411119701</v>
      </c>
      <c r="K35" s="24">
        <v>22.153048547497701</v>
      </c>
      <c r="L35" s="24">
        <v>19.899509198164701</v>
      </c>
      <c r="M35" s="24">
        <v>19.025728230114201</v>
      </c>
      <c r="N35" s="24">
        <v>18.535709688845301</v>
      </c>
      <c r="O35" s="24">
        <v>17.6318709409083</v>
      </c>
      <c r="P35" s="24">
        <v>16.3009488342684</v>
      </c>
      <c r="Q35" s="24">
        <v>7.7999999805405604</v>
      </c>
      <c r="R35" s="25">
        <v>2.4129425669537801</v>
      </c>
    </row>
    <row r="36" spans="1:18" x14ac:dyDescent="0.3">
      <c r="A36" s="18">
        <v>4.5484949800000001</v>
      </c>
      <c r="B36" s="23">
        <v>100.92749158069699</v>
      </c>
      <c r="C36" s="24">
        <v>60.190234358150398</v>
      </c>
      <c r="D36" s="24">
        <v>44.408393639304798</v>
      </c>
      <c r="E36" s="24">
        <v>40.529700331800001</v>
      </c>
      <c r="F36" s="24">
        <v>33.721844871713003</v>
      </c>
      <c r="G36" s="24">
        <v>31.910697801765</v>
      </c>
      <c r="H36" s="24">
        <v>30.753006857278098</v>
      </c>
      <c r="I36" s="24">
        <v>29.130058263936199</v>
      </c>
      <c r="J36" s="24">
        <v>24.5896290289691</v>
      </c>
      <c r="K36" s="24">
        <v>22.349913048286901</v>
      </c>
      <c r="L36" s="24">
        <v>20.431511900956501</v>
      </c>
      <c r="M36" s="24">
        <v>19.664758174902399</v>
      </c>
      <c r="N36" s="24">
        <v>18.839719678684901</v>
      </c>
      <c r="O36" s="24">
        <v>17.721368243318398</v>
      </c>
      <c r="P36" s="24">
        <v>16.317680615621398</v>
      </c>
      <c r="Q36" s="24">
        <v>7.7999999860468199</v>
      </c>
      <c r="R36" s="25">
        <v>2.4375820386796501</v>
      </c>
    </row>
    <row r="37" spans="1:18" x14ac:dyDescent="0.3">
      <c r="A37" s="18">
        <v>4.6822742499999999</v>
      </c>
      <c r="B37" s="23">
        <v>100.986688391953</v>
      </c>
      <c r="C37" s="24">
        <v>60.491657721653901</v>
      </c>
      <c r="D37" s="24">
        <v>44.5426469817845</v>
      </c>
      <c r="E37" s="24">
        <v>40.9587109297808</v>
      </c>
      <c r="F37" s="24">
        <v>33.806095014908102</v>
      </c>
      <c r="G37" s="24">
        <v>31.954596560725602</v>
      </c>
      <c r="H37" s="24">
        <v>31.008151764822699</v>
      </c>
      <c r="I37" s="24">
        <v>29.491447036152501</v>
      </c>
      <c r="J37" s="24">
        <v>25.433061646818601</v>
      </c>
      <c r="K37" s="24">
        <v>22.546777549076001</v>
      </c>
      <c r="L37" s="24">
        <v>20.963514603748301</v>
      </c>
      <c r="M37" s="24">
        <v>20.303788119690701</v>
      </c>
      <c r="N37" s="24">
        <v>19.1437296685245</v>
      </c>
      <c r="O37" s="24">
        <v>17.8108655457285</v>
      </c>
      <c r="P37" s="24">
        <v>16.334412396974301</v>
      </c>
      <c r="Q37" s="24">
        <v>7.7999999915530696</v>
      </c>
      <c r="R37" s="25">
        <v>2.4622215104055201</v>
      </c>
    </row>
    <row r="38" spans="1:18" x14ac:dyDescent="0.3">
      <c r="A38" s="18">
        <v>4.8160535099999997</v>
      </c>
      <c r="B38" s="23">
        <v>101.045885203209</v>
      </c>
      <c r="C38" s="24">
        <v>60.793081085157397</v>
      </c>
      <c r="D38" s="24">
        <v>44.676900324264203</v>
      </c>
      <c r="E38" s="24">
        <v>41.387721527761599</v>
      </c>
      <c r="F38" s="24">
        <v>33.890345158103202</v>
      </c>
      <c r="G38" s="24">
        <v>31.998495319686299</v>
      </c>
      <c r="H38" s="24">
        <v>31.2632966723674</v>
      </c>
      <c r="I38" s="24">
        <v>29.852835808368798</v>
      </c>
      <c r="J38" s="24">
        <v>26.276494264668099</v>
      </c>
      <c r="K38" s="24">
        <v>22.743642049865102</v>
      </c>
      <c r="L38" s="24">
        <v>21.495517306540101</v>
      </c>
      <c r="M38" s="24">
        <v>20.942818064478899</v>
      </c>
      <c r="N38" s="24">
        <v>19.447739658364</v>
      </c>
      <c r="O38" s="24">
        <v>17.900362848138499</v>
      </c>
      <c r="P38" s="24">
        <v>16.351144178327299</v>
      </c>
      <c r="Q38" s="24">
        <v>7.7999999970593104</v>
      </c>
      <c r="R38" s="25">
        <v>2.4868609821313998</v>
      </c>
    </row>
    <row r="39" spans="1:18" x14ac:dyDescent="0.3">
      <c r="A39" s="18">
        <v>4.9498327800000004</v>
      </c>
      <c r="B39" s="23">
        <v>101.183359992677</v>
      </c>
      <c r="C39" s="24">
        <v>61.107233726087898</v>
      </c>
      <c r="D39" s="24">
        <v>44.898452712139601</v>
      </c>
      <c r="E39" s="24">
        <v>41.7792268611136</v>
      </c>
      <c r="F39" s="24">
        <v>34.212880335675301</v>
      </c>
      <c r="G39" s="24">
        <v>32.397021724681402</v>
      </c>
      <c r="H39" s="24">
        <v>31.666248119102299</v>
      </c>
      <c r="I39" s="24">
        <v>30.1399103930666</v>
      </c>
      <c r="J39" s="24">
        <v>26.942211324534199</v>
      </c>
      <c r="K39" s="24">
        <v>23.1620694392712</v>
      </c>
      <c r="L39" s="24">
        <v>21.950715061661501</v>
      </c>
      <c r="M39" s="24">
        <v>21.304234980029701</v>
      </c>
      <c r="N39" s="24">
        <v>19.6464061738635</v>
      </c>
      <c r="O39" s="24">
        <v>17.979393599746899</v>
      </c>
      <c r="P39" s="24">
        <v>16.526125327909501</v>
      </c>
      <c r="Q39" s="24">
        <v>7.9071187643237097</v>
      </c>
      <c r="R39" s="25">
        <v>2.50894388541515</v>
      </c>
    </row>
    <row r="40" spans="1:18" x14ac:dyDescent="0.3">
      <c r="A40" s="18">
        <v>5.0836120400000002</v>
      </c>
      <c r="B40" s="23">
        <v>101.410557830275</v>
      </c>
      <c r="C40" s="24">
        <v>61.435976799696199</v>
      </c>
      <c r="D40" s="24">
        <v>45.220068190947998</v>
      </c>
      <c r="E40" s="24">
        <v>42.127743262708002</v>
      </c>
      <c r="F40" s="24">
        <v>34.808540344736599</v>
      </c>
      <c r="G40" s="24">
        <v>33.202026095520097</v>
      </c>
      <c r="H40" s="24">
        <v>32.238616987350497</v>
      </c>
      <c r="I40" s="24">
        <v>30.341805268529502</v>
      </c>
      <c r="J40" s="24">
        <v>27.404228928603299</v>
      </c>
      <c r="K40" s="24">
        <v>23.8344545594931</v>
      </c>
      <c r="L40" s="24">
        <v>22.317878171867498</v>
      </c>
      <c r="M40" s="24">
        <v>21.347448899626698</v>
      </c>
      <c r="N40" s="24">
        <v>19.7243268827586</v>
      </c>
      <c r="O40" s="24">
        <v>18.046427479913199</v>
      </c>
      <c r="P40" s="24">
        <v>16.882493580311198</v>
      </c>
      <c r="Q40" s="24">
        <v>8.1370181914436905</v>
      </c>
      <c r="R40" s="25">
        <v>2.5280964228588001</v>
      </c>
    </row>
    <row r="41" spans="1:18" x14ac:dyDescent="0.3">
      <c r="A41" s="18">
        <v>5.2173913000000001</v>
      </c>
      <c r="B41" s="23">
        <v>101.63775566787299</v>
      </c>
      <c r="C41" s="24">
        <v>61.7647198733045</v>
      </c>
      <c r="D41" s="24">
        <v>45.541683669756303</v>
      </c>
      <c r="E41" s="24">
        <v>42.476259664302397</v>
      </c>
      <c r="F41" s="24">
        <v>35.404200353797897</v>
      </c>
      <c r="G41" s="24">
        <v>34.007030466358799</v>
      </c>
      <c r="H41" s="24">
        <v>32.810985855598702</v>
      </c>
      <c r="I41" s="24">
        <v>30.5437001439924</v>
      </c>
      <c r="J41" s="24">
        <v>27.866246532672399</v>
      </c>
      <c r="K41" s="24">
        <v>24.5068396797151</v>
      </c>
      <c r="L41" s="24">
        <v>22.685041282073399</v>
      </c>
      <c r="M41" s="24">
        <v>21.390662819223699</v>
      </c>
      <c r="N41" s="24">
        <v>19.8022475916536</v>
      </c>
      <c r="O41" s="24">
        <v>18.113461360079501</v>
      </c>
      <c r="P41" s="24">
        <v>17.2388618327128</v>
      </c>
      <c r="Q41" s="24">
        <v>8.3669176185636704</v>
      </c>
      <c r="R41" s="25">
        <v>2.5472489603024502</v>
      </c>
    </row>
    <row r="42" spans="1:18" x14ac:dyDescent="0.3">
      <c r="A42" s="18">
        <v>5.3511705699999998</v>
      </c>
      <c r="B42" s="23">
        <v>101.864953505472</v>
      </c>
      <c r="C42" s="24">
        <v>62.093462946912801</v>
      </c>
      <c r="D42" s="24">
        <v>45.8632991485647</v>
      </c>
      <c r="E42" s="24">
        <v>42.8247760658967</v>
      </c>
      <c r="F42" s="24">
        <v>35.999860362859202</v>
      </c>
      <c r="G42" s="24">
        <v>34.812034837197501</v>
      </c>
      <c r="H42" s="24">
        <v>33.3833547238468</v>
      </c>
      <c r="I42" s="24">
        <v>30.745595019455301</v>
      </c>
      <c r="J42" s="24">
        <v>28.328264136741499</v>
      </c>
      <c r="K42" s="24">
        <v>25.179224799937099</v>
      </c>
      <c r="L42" s="24">
        <v>23.0522043922794</v>
      </c>
      <c r="M42" s="24">
        <v>21.4338767388207</v>
      </c>
      <c r="N42" s="24">
        <v>19.8801683005487</v>
      </c>
      <c r="O42" s="24">
        <v>18.180495240245701</v>
      </c>
      <c r="P42" s="24">
        <v>17.595230085114501</v>
      </c>
      <c r="Q42" s="24">
        <v>8.5968170456836503</v>
      </c>
      <c r="R42" s="25">
        <v>2.56640149774611</v>
      </c>
    </row>
    <row r="43" spans="1:18" x14ac:dyDescent="0.3">
      <c r="A43" s="18">
        <v>5.4849498299999997</v>
      </c>
      <c r="B43" s="23">
        <v>102.09215134307</v>
      </c>
      <c r="C43" s="24">
        <v>62.422206020521202</v>
      </c>
      <c r="D43" s="24">
        <v>46.184914627373097</v>
      </c>
      <c r="E43" s="24">
        <v>43.173292467491102</v>
      </c>
      <c r="F43" s="24">
        <v>36.5955203719205</v>
      </c>
      <c r="G43" s="24">
        <v>35.617039208036203</v>
      </c>
      <c r="H43" s="24">
        <v>33.955723592094998</v>
      </c>
      <c r="I43" s="24">
        <v>30.947489894918199</v>
      </c>
      <c r="J43" s="24">
        <v>28.790281740810599</v>
      </c>
      <c r="K43" s="24">
        <v>25.851609920159</v>
      </c>
      <c r="L43" s="24">
        <v>23.4193675024854</v>
      </c>
      <c r="M43" s="24">
        <v>21.477090658417801</v>
      </c>
      <c r="N43" s="24">
        <v>19.9580890094438</v>
      </c>
      <c r="O43" s="24">
        <v>18.247529120412</v>
      </c>
      <c r="P43" s="24">
        <v>17.951598337516199</v>
      </c>
      <c r="Q43" s="24">
        <v>8.8267164728036303</v>
      </c>
      <c r="R43" s="25">
        <v>2.5855540351897601</v>
      </c>
    </row>
    <row r="44" spans="1:18" x14ac:dyDescent="0.3">
      <c r="A44" s="18">
        <v>5.6187291000000004</v>
      </c>
      <c r="B44" s="23">
        <v>102.298227131903</v>
      </c>
      <c r="C44" s="24">
        <v>62.726377158036499</v>
      </c>
      <c r="D44" s="24">
        <v>46.456966346293498</v>
      </c>
      <c r="E44" s="24">
        <v>43.451547912971499</v>
      </c>
      <c r="F44" s="24">
        <v>37.125370800906097</v>
      </c>
      <c r="G44" s="24">
        <v>36.256229112660499</v>
      </c>
      <c r="H44" s="24">
        <v>34.413158867507498</v>
      </c>
      <c r="I44" s="24">
        <v>31.1304047159277</v>
      </c>
      <c r="J44" s="24">
        <v>29.1591878497618</v>
      </c>
      <c r="K44" s="24">
        <v>26.3953966594114</v>
      </c>
      <c r="L44" s="24">
        <v>23.739786908563001</v>
      </c>
      <c r="M44" s="24">
        <v>21.543512588440102</v>
      </c>
      <c r="N44" s="24">
        <v>20.060146871844701</v>
      </c>
      <c r="O44" s="24">
        <v>18.392764939520202</v>
      </c>
      <c r="P44" s="24">
        <v>18.250575330762398</v>
      </c>
      <c r="Q44" s="24">
        <v>9.0814495560262891</v>
      </c>
      <c r="R44" s="25">
        <v>2.6212580880855998</v>
      </c>
    </row>
    <row r="45" spans="1:18" x14ac:dyDescent="0.3">
      <c r="A45" s="18">
        <v>5.7525083600000002</v>
      </c>
      <c r="B45" s="23">
        <v>102.439836349323</v>
      </c>
      <c r="C45" s="24">
        <v>62.9555523285185</v>
      </c>
      <c r="D45" s="24">
        <v>46.5777445925604</v>
      </c>
      <c r="E45" s="24">
        <v>43.515360006144597</v>
      </c>
      <c r="F45" s="24">
        <v>37.454363915304697</v>
      </c>
      <c r="G45" s="24">
        <v>36.3893369489112</v>
      </c>
      <c r="H45" s="24">
        <v>34.519805507188799</v>
      </c>
      <c r="I45" s="24">
        <v>31.2553905429541</v>
      </c>
      <c r="J45" s="24">
        <v>29.243908512687501</v>
      </c>
      <c r="K45" s="24">
        <v>26.546688484821701</v>
      </c>
      <c r="L45" s="24">
        <v>23.9175399296813</v>
      </c>
      <c r="M45" s="24">
        <v>21.680767650136701</v>
      </c>
      <c r="N45" s="24">
        <v>20.235873702037299</v>
      </c>
      <c r="O45" s="24">
        <v>18.7766807719835</v>
      </c>
      <c r="P45" s="24">
        <v>18.374388553301301</v>
      </c>
      <c r="Q45" s="24">
        <v>9.4119774015073698</v>
      </c>
      <c r="R45" s="25">
        <v>2.7074789949447799</v>
      </c>
    </row>
    <row r="46" spans="1:18" x14ac:dyDescent="0.3">
      <c r="A46" s="18">
        <v>5.88628763</v>
      </c>
      <c r="B46" s="23">
        <v>102.581445566743</v>
      </c>
      <c r="C46" s="24">
        <v>63.184727499000402</v>
      </c>
      <c r="D46" s="24">
        <v>46.698522838827301</v>
      </c>
      <c r="E46" s="24">
        <v>43.579172099317702</v>
      </c>
      <c r="F46" s="24">
        <v>37.783357029703197</v>
      </c>
      <c r="G46" s="24">
        <v>36.522444785161802</v>
      </c>
      <c r="H46" s="24">
        <v>34.626452146870101</v>
      </c>
      <c r="I46" s="24">
        <v>31.3803763699804</v>
      </c>
      <c r="J46" s="24">
        <v>29.328629175613099</v>
      </c>
      <c r="K46" s="24">
        <v>26.697980310232101</v>
      </c>
      <c r="L46" s="24">
        <v>24.095292950799699</v>
      </c>
      <c r="M46" s="24">
        <v>21.818022711833301</v>
      </c>
      <c r="N46" s="24">
        <v>20.411600532229901</v>
      </c>
      <c r="O46" s="24">
        <v>19.160596604446798</v>
      </c>
      <c r="P46" s="24">
        <v>18.498201775840101</v>
      </c>
      <c r="Q46" s="24">
        <v>9.7425052469884506</v>
      </c>
      <c r="R46" s="25">
        <v>2.7936999018039601</v>
      </c>
    </row>
    <row r="47" spans="1:18" x14ac:dyDescent="0.3">
      <c r="A47" s="18">
        <v>6.0200668899999998</v>
      </c>
      <c r="B47" s="23">
        <v>102.723054784163</v>
      </c>
      <c r="C47" s="24">
        <v>63.413902669482397</v>
      </c>
      <c r="D47" s="24">
        <v>46.819301085094203</v>
      </c>
      <c r="E47" s="24">
        <v>43.642984192490701</v>
      </c>
      <c r="F47" s="24">
        <v>38.112350144101796</v>
      </c>
      <c r="G47" s="24">
        <v>36.655552621412497</v>
      </c>
      <c r="H47" s="24">
        <v>34.733098786551302</v>
      </c>
      <c r="I47" s="24">
        <v>31.505362197006701</v>
      </c>
      <c r="J47" s="24">
        <v>29.413349838538799</v>
      </c>
      <c r="K47" s="24">
        <v>26.849272135642401</v>
      </c>
      <c r="L47" s="24">
        <v>24.273045971917998</v>
      </c>
      <c r="M47" s="24">
        <v>21.9552777735299</v>
      </c>
      <c r="N47" s="24">
        <v>20.587327362422499</v>
      </c>
      <c r="O47" s="24">
        <v>19.5445124369101</v>
      </c>
      <c r="P47" s="24">
        <v>18.622014998379001</v>
      </c>
      <c r="Q47" s="24">
        <v>10.073033092469499</v>
      </c>
      <c r="R47" s="25">
        <v>2.8799208086631398</v>
      </c>
    </row>
    <row r="48" spans="1:18" x14ac:dyDescent="0.3">
      <c r="A48" s="18">
        <v>6.1538461499999997</v>
      </c>
      <c r="B48" s="23">
        <v>102.864664001584</v>
      </c>
      <c r="C48" s="24">
        <v>63.643077839964398</v>
      </c>
      <c r="D48" s="24">
        <v>46.940079331361098</v>
      </c>
      <c r="E48" s="24">
        <v>43.706796285663799</v>
      </c>
      <c r="F48" s="24">
        <v>38.441343258500403</v>
      </c>
      <c r="G48" s="24">
        <v>36.788660457663099</v>
      </c>
      <c r="H48" s="24">
        <v>34.839745426232597</v>
      </c>
      <c r="I48" s="24">
        <v>31.630348024033101</v>
      </c>
      <c r="J48" s="24">
        <v>29.498070501464401</v>
      </c>
      <c r="K48" s="24">
        <v>27.000563961052801</v>
      </c>
      <c r="L48" s="24">
        <v>24.4507989930364</v>
      </c>
      <c r="M48" s="24">
        <v>22.0925328352265</v>
      </c>
      <c r="N48" s="24">
        <v>20.763054192615101</v>
      </c>
      <c r="O48" s="24">
        <v>19.928428269373399</v>
      </c>
      <c r="P48" s="24">
        <v>18.745828220917801</v>
      </c>
      <c r="Q48" s="24">
        <v>10.4035609379506</v>
      </c>
      <c r="R48" s="25">
        <v>2.96614171552232</v>
      </c>
    </row>
    <row r="49" spans="1:18" x14ac:dyDescent="0.3">
      <c r="A49" s="18">
        <v>6.2876254200000004</v>
      </c>
      <c r="B49" s="23">
        <v>103.006273219004</v>
      </c>
      <c r="C49" s="24">
        <v>63.8722530104463</v>
      </c>
      <c r="D49" s="24">
        <v>47.060857577627999</v>
      </c>
      <c r="E49" s="24">
        <v>43.770608378836897</v>
      </c>
      <c r="F49" s="24">
        <v>38.770336372899003</v>
      </c>
      <c r="G49" s="24">
        <v>36.9217682939138</v>
      </c>
      <c r="H49" s="24">
        <v>34.946392065913898</v>
      </c>
      <c r="I49" s="24">
        <v>31.755333851059401</v>
      </c>
      <c r="J49" s="24">
        <v>29.582791164390098</v>
      </c>
      <c r="K49" s="24">
        <v>27.151855786463098</v>
      </c>
      <c r="L49" s="24">
        <v>24.6285520141547</v>
      </c>
      <c r="M49" s="24">
        <v>22.229787896923099</v>
      </c>
      <c r="N49" s="24">
        <v>20.938781022807699</v>
      </c>
      <c r="O49" s="24">
        <v>20.3123441018367</v>
      </c>
      <c r="P49" s="24">
        <v>18.8696414434567</v>
      </c>
      <c r="Q49" s="24">
        <v>10.7340887834316</v>
      </c>
      <c r="R49" s="25">
        <v>3.0523626223815099</v>
      </c>
    </row>
    <row r="50" spans="1:18" x14ac:dyDescent="0.3">
      <c r="A50" s="18">
        <v>6.4214046800000002</v>
      </c>
      <c r="B50" s="23">
        <v>103.147882436424</v>
      </c>
      <c r="C50" s="24">
        <v>64.101428180928295</v>
      </c>
      <c r="D50" s="24">
        <v>47.181635823894901</v>
      </c>
      <c r="E50" s="24">
        <v>43.834420472009903</v>
      </c>
      <c r="F50" s="24">
        <v>39.099329487297503</v>
      </c>
      <c r="G50" s="24">
        <v>37.054876130164402</v>
      </c>
      <c r="H50" s="24">
        <v>35.0530387055951</v>
      </c>
      <c r="I50" s="24">
        <v>31.880319678085801</v>
      </c>
      <c r="J50" s="24">
        <v>29.667511827315799</v>
      </c>
      <c r="K50" s="24">
        <v>27.303147611873499</v>
      </c>
      <c r="L50" s="24">
        <v>24.806305035273098</v>
      </c>
      <c r="M50" s="24">
        <v>22.367042958619699</v>
      </c>
      <c r="N50" s="24">
        <v>21.114507853000301</v>
      </c>
      <c r="O50" s="24">
        <v>20.696259934299999</v>
      </c>
      <c r="P50" s="24">
        <v>18.9934546659955</v>
      </c>
      <c r="Q50" s="24">
        <v>11.064616628912701</v>
      </c>
      <c r="R50" s="25">
        <v>3.1385835292406901</v>
      </c>
    </row>
    <row r="51" spans="1:18" x14ac:dyDescent="0.3">
      <c r="A51" s="18">
        <v>6.55518395</v>
      </c>
      <c r="B51" s="23">
        <v>103.547068938908</v>
      </c>
      <c r="C51" s="24">
        <v>64.277980866368594</v>
      </c>
      <c r="D51" s="24">
        <v>47.293881202237699</v>
      </c>
      <c r="E51" s="24">
        <v>43.897724728163901</v>
      </c>
      <c r="F51" s="24">
        <v>39.396636336770101</v>
      </c>
      <c r="G51" s="24">
        <v>37.220888401726299</v>
      </c>
      <c r="H51" s="24">
        <v>35.193592687953704</v>
      </c>
      <c r="I51" s="24">
        <v>31.9728769893436</v>
      </c>
      <c r="J51" s="24">
        <v>29.733542527039202</v>
      </c>
      <c r="K51" s="24">
        <v>27.4699550644394</v>
      </c>
      <c r="L51" s="24">
        <v>25.0557893285396</v>
      </c>
      <c r="M51" s="24">
        <v>22.651231020447401</v>
      </c>
      <c r="N51" s="24">
        <v>21.4408987962316</v>
      </c>
      <c r="O51" s="24">
        <v>21.046067346138599</v>
      </c>
      <c r="P51" s="24">
        <v>19.134176875895498</v>
      </c>
      <c r="Q51" s="24">
        <v>11.415238082949401</v>
      </c>
      <c r="R51" s="25">
        <v>3.2295334911768898</v>
      </c>
    </row>
    <row r="52" spans="1:18" x14ac:dyDescent="0.3">
      <c r="A52" s="18">
        <v>6.6889632099999998</v>
      </c>
      <c r="B52" s="23">
        <v>104.583302590706</v>
      </c>
      <c r="C52" s="24">
        <v>64.324386190107006</v>
      </c>
      <c r="D52" s="24">
        <v>47.385022859477097</v>
      </c>
      <c r="E52" s="24">
        <v>43.959772987985602</v>
      </c>
      <c r="F52" s="24">
        <v>39.6155758537409</v>
      </c>
      <c r="G52" s="24">
        <v>37.4682808179289</v>
      </c>
      <c r="H52" s="24">
        <v>35.418007232737203</v>
      </c>
      <c r="I52" s="24">
        <v>31.985231213121899</v>
      </c>
      <c r="J52" s="24">
        <v>29.753348701273801</v>
      </c>
      <c r="K52" s="24">
        <v>27.675136188219501</v>
      </c>
      <c r="L52" s="24">
        <v>25.482681355671801</v>
      </c>
      <c r="M52" s="24">
        <v>23.298817775797499</v>
      </c>
      <c r="N52" s="24">
        <v>22.139916322940799</v>
      </c>
      <c r="O52" s="24">
        <v>21.3115168841023</v>
      </c>
      <c r="P52" s="24">
        <v>19.316718853378799</v>
      </c>
      <c r="Q52" s="24">
        <v>11.8155555963517</v>
      </c>
      <c r="R52" s="25">
        <v>3.3321794807927501</v>
      </c>
    </row>
    <row r="53" spans="1:18" x14ac:dyDescent="0.3">
      <c r="A53" s="18">
        <v>6.8227424699999997</v>
      </c>
      <c r="B53" s="23">
        <v>105.619536242504</v>
      </c>
      <c r="C53" s="24">
        <v>64.370791513845305</v>
      </c>
      <c r="D53" s="24">
        <v>47.476164516716601</v>
      </c>
      <c r="E53" s="24">
        <v>44.021821247807303</v>
      </c>
      <c r="F53" s="24">
        <v>39.834515370711699</v>
      </c>
      <c r="G53" s="24">
        <v>37.715673234131501</v>
      </c>
      <c r="H53" s="24">
        <v>35.642421777520603</v>
      </c>
      <c r="I53" s="24">
        <v>31.997585436900199</v>
      </c>
      <c r="J53" s="24">
        <v>29.773154875508499</v>
      </c>
      <c r="K53" s="24">
        <v>27.880317311999502</v>
      </c>
      <c r="L53" s="24">
        <v>25.909573382803998</v>
      </c>
      <c r="M53" s="24">
        <v>23.9464045311476</v>
      </c>
      <c r="N53" s="24">
        <v>22.838933849650001</v>
      </c>
      <c r="O53" s="24">
        <v>21.576966422065901</v>
      </c>
      <c r="P53" s="24">
        <v>19.499260830862099</v>
      </c>
      <c r="Q53" s="24">
        <v>12.2158731097539</v>
      </c>
      <c r="R53" s="25">
        <v>3.4348254704086001</v>
      </c>
    </row>
    <row r="54" spans="1:18" x14ac:dyDescent="0.3">
      <c r="A54" s="18">
        <v>6.9565217400000003</v>
      </c>
      <c r="B54" s="23">
        <v>106.655769894302</v>
      </c>
      <c r="C54" s="24">
        <v>64.417196837583603</v>
      </c>
      <c r="D54" s="24">
        <v>47.567306173956098</v>
      </c>
      <c r="E54" s="24">
        <v>44.083869507628997</v>
      </c>
      <c r="F54" s="24">
        <v>40.053454887682499</v>
      </c>
      <c r="G54" s="24">
        <v>37.963065650334102</v>
      </c>
      <c r="H54" s="24">
        <v>35.866836322304103</v>
      </c>
      <c r="I54" s="24">
        <v>32.009939660678498</v>
      </c>
      <c r="J54" s="24">
        <v>29.792961049743202</v>
      </c>
      <c r="K54" s="24">
        <v>28.085498435779499</v>
      </c>
      <c r="L54" s="24">
        <v>26.336465409936299</v>
      </c>
      <c r="M54" s="24">
        <v>24.593991286497602</v>
      </c>
      <c r="N54" s="24">
        <v>23.537951376359199</v>
      </c>
      <c r="O54" s="24">
        <v>21.842415960029602</v>
      </c>
      <c r="P54" s="24">
        <v>19.681802808345498</v>
      </c>
      <c r="Q54" s="24">
        <v>12.6161906231562</v>
      </c>
      <c r="R54" s="25">
        <v>3.5374714600244599</v>
      </c>
    </row>
    <row r="55" spans="1:18" x14ac:dyDescent="0.3">
      <c r="A55" s="18">
        <v>7.0903010000000002</v>
      </c>
      <c r="B55" s="23">
        <v>107.692003546099</v>
      </c>
      <c r="C55" s="24">
        <v>64.463602161321901</v>
      </c>
      <c r="D55" s="24">
        <v>47.658447831195602</v>
      </c>
      <c r="E55" s="24">
        <v>44.145917767450698</v>
      </c>
      <c r="F55" s="24">
        <v>40.272394404653298</v>
      </c>
      <c r="G55" s="24">
        <v>38.210458066536702</v>
      </c>
      <c r="H55" s="24">
        <v>36.091250867087503</v>
      </c>
      <c r="I55" s="24">
        <v>32.022293884456801</v>
      </c>
      <c r="J55" s="24">
        <v>29.8127672239779</v>
      </c>
      <c r="K55" s="24">
        <v>28.2906795595595</v>
      </c>
      <c r="L55" s="24">
        <v>26.7633574370685</v>
      </c>
      <c r="M55" s="24">
        <v>25.241578041847699</v>
      </c>
      <c r="N55" s="24">
        <v>24.236968903068401</v>
      </c>
      <c r="O55" s="24">
        <v>22.107865497993298</v>
      </c>
      <c r="P55" s="24">
        <v>19.864344785828798</v>
      </c>
      <c r="Q55" s="24">
        <v>13.0165081365584</v>
      </c>
      <c r="R55" s="25">
        <v>3.6401174496403099</v>
      </c>
    </row>
    <row r="56" spans="1:18" x14ac:dyDescent="0.3">
      <c r="A56" s="18">
        <v>7.22408027</v>
      </c>
      <c r="B56" s="23">
        <v>108.728237197897</v>
      </c>
      <c r="C56" s="24">
        <v>64.510007485060299</v>
      </c>
      <c r="D56" s="24">
        <v>47.749589488434999</v>
      </c>
      <c r="E56" s="24">
        <v>44.207966027272398</v>
      </c>
      <c r="F56" s="24">
        <v>40.491333921624097</v>
      </c>
      <c r="G56" s="24">
        <v>38.457850482739303</v>
      </c>
      <c r="H56" s="24">
        <v>36.315665411870903</v>
      </c>
      <c r="I56" s="24">
        <v>32.034648108235103</v>
      </c>
      <c r="J56" s="24">
        <v>29.832573398212599</v>
      </c>
      <c r="K56" s="24">
        <v>28.495860683339501</v>
      </c>
      <c r="L56" s="24">
        <v>27.190249464200701</v>
      </c>
      <c r="M56" s="24">
        <v>25.8891647971978</v>
      </c>
      <c r="N56" s="24">
        <v>24.9359864297776</v>
      </c>
      <c r="O56" s="24">
        <v>22.3733150359569</v>
      </c>
      <c r="P56" s="24">
        <v>20.046886763312099</v>
      </c>
      <c r="Q56" s="24">
        <v>13.4168256499607</v>
      </c>
      <c r="R56" s="25">
        <v>3.7427634392561702</v>
      </c>
    </row>
    <row r="57" spans="1:18" x14ac:dyDescent="0.3">
      <c r="A57" s="18">
        <v>7.3578595299999998</v>
      </c>
      <c r="B57" s="23">
        <v>109.764470849695</v>
      </c>
      <c r="C57" s="24">
        <v>64.556412808798598</v>
      </c>
      <c r="D57" s="24">
        <v>47.840731145674503</v>
      </c>
      <c r="E57" s="24">
        <v>44.270014287094</v>
      </c>
      <c r="F57" s="24">
        <v>40.710273438594903</v>
      </c>
      <c r="G57" s="24">
        <v>38.705242898941997</v>
      </c>
      <c r="H57" s="24">
        <v>36.540079956654402</v>
      </c>
      <c r="I57" s="24">
        <v>32.047002332013399</v>
      </c>
      <c r="J57" s="24">
        <v>29.852379572447301</v>
      </c>
      <c r="K57" s="24">
        <v>28.701041807119601</v>
      </c>
      <c r="L57" s="24">
        <v>27.617141491332902</v>
      </c>
      <c r="M57" s="24">
        <v>26.536751552547901</v>
      </c>
      <c r="N57" s="24">
        <v>25.635003956486798</v>
      </c>
      <c r="O57" s="24">
        <v>22.6387645739206</v>
      </c>
      <c r="P57" s="24">
        <v>20.229428740795498</v>
      </c>
      <c r="Q57" s="24">
        <v>13.8171431633629</v>
      </c>
      <c r="R57" s="25">
        <v>3.8454094288720202</v>
      </c>
    </row>
    <row r="58" spans="1:18" x14ac:dyDescent="0.3">
      <c r="A58" s="18">
        <v>7.4916387999999996</v>
      </c>
      <c r="B58" s="23">
        <v>110.800704501493</v>
      </c>
      <c r="C58" s="24">
        <v>64.602818132536896</v>
      </c>
      <c r="D58" s="24">
        <v>47.931872802914</v>
      </c>
      <c r="E58" s="24">
        <v>44.332062546915701</v>
      </c>
      <c r="F58" s="24">
        <v>40.929212955565703</v>
      </c>
      <c r="G58" s="24">
        <v>38.952635315144597</v>
      </c>
      <c r="H58" s="24">
        <v>36.764494501437802</v>
      </c>
      <c r="I58" s="24">
        <v>32.059356555791602</v>
      </c>
      <c r="J58" s="24">
        <v>29.872185746682</v>
      </c>
      <c r="K58" s="24">
        <v>28.906222930899599</v>
      </c>
      <c r="L58" s="24">
        <v>28.044033518465099</v>
      </c>
      <c r="M58" s="24">
        <v>27.184338307897999</v>
      </c>
      <c r="N58" s="24">
        <v>26.334021483196</v>
      </c>
      <c r="O58" s="24">
        <v>22.904214111884301</v>
      </c>
      <c r="P58" s="24">
        <v>20.411970718278798</v>
      </c>
      <c r="Q58" s="24">
        <v>14.217460676765199</v>
      </c>
      <c r="R58" s="25">
        <v>3.94805541848788</v>
      </c>
    </row>
    <row r="59" spans="1:18" x14ac:dyDescent="0.3">
      <c r="A59" s="18">
        <v>7.6254180600000003</v>
      </c>
      <c r="B59" s="23">
        <v>111.83693815329001</v>
      </c>
      <c r="C59" s="24">
        <v>64.649223456275294</v>
      </c>
      <c r="D59" s="24">
        <v>48.023014460153398</v>
      </c>
      <c r="E59" s="24">
        <v>44.394110806737402</v>
      </c>
      <c r="F59" s="24">
        <v>41.148152472536502</v>
      </c>
      <c r="G59" s="24">
        <v>39.200027731347198</v>
      </c>
      <c r="H59" s="24">
        <v>36.988909046221302</v>
      </c>
      <c r="I59" s="24">
        <v>32.071710779569898</v>
      </c>
      <c r="J59" s="24">
        <v>29.891991920916698</v>
      </c>
      <c r="K59" s="24">
        <v>29.1114040546796</v>
      </c>
      <c r="L59" s="24">
        <v>28.4709255455974</v>
      </c>
      <c r="M59" s="24">
        <v>27.831925063248001</v>
      </c>
      <c r="N59" s="24">
        <v>27.033039009905199</v>
      </c>
      <c r="O59" s="24">
        <v>23.169663649847902</v>
      </c>
      <c r="P59" s="24">
        <v>20.594512695762099</v>
      </c>
      <c r="Q59" s="24">
        <v>14.6177781901674</v>
      </c>
      <c r="R59" s="25">
        <v>4.0507014081037296</v>
      </c>
    </row>
    <row r="60" spans="1:18" x14ac:dyDescent="0.3">
      <c r="A60" s="18">
        <v>7.7591973200000002</v>
      </c>
      <c r="B60" s="23">
        <v>112.87317180508801</v>
      </c>
      <c r="C60" s="24">
        <v>64.695628780013607</v>
      </c>
      <c r="D60" s="24">
        <v>48.114156117392902</v>
      </c>
      <c r="E60" s="24">
        <v>44.456159066559103</v>
      </c>
      <c r="F60" s="24">
        <v>41.367091989507301</v>
      </c>
      <c r="G60" s="24">
        <v>39.447420147549799</v>
      </c>
      <c r="H60" s="24">
        <v>37.213323591004702</v>
      </c>
      <c r="I60" s="24">
        <v>32.084065003348201</v>
      </c>
      <c r="J60" s="24">
        <v>29.911798095151301</v>
      </c>
      <c r="K60" s="24">
        <v>29.316585178459601</v>
      </c>
      <c r="L60" s="24">
        <v>28.8978175727296</v>
      </c>
      <c r="M60" s="24">
        <v>28.479511818598102</v>
      </c>
      <c r="N60" s="24">
        <v>27.732056536614401</v>
      </c>
      <c r="O60" s="24">
        <v>23.435113187811599</v>
      </c>
      <c r="P60" s="24">
        <v>20.777054673245399</v>
      </c>
      <c r="Q60" s="24">
        <v>15.018095703569699</v>
      </c>
      <c r="R60" s="25">
        <v>4.1533473977195898</v>
      </c>
    </row>
    <row r="61" spans="1:18" x14ac:dyDescent="0.3">
      <c r="A61" s="18">
        <v>7.89297659</v>
      </c>
      <c r="B61" s="23">
        <v>113.953593434552</v>
      </c>
      <c r="C61" s="24">
        <v>64.791402486043907</v>
      </c>
      <c r="D61" s="24">
        <v>48.384563738004999</v>
      </c>
      <c r="E61" s="24">
        <v>44.5202017709139</v>
      </c>
      <c r="F61" s="24">
        <v>41.4913597806623</v>
      </c>
      <c r="G61" s="24">
        <v>39.582825789128997</v>
      </c>
      <c r="H61" s="24">
        <v>37.325382931842</v>
      </c>
      <c r="I61" s="24">
        <v>32.1027866681397</v>
      </c>
      <c r="J61" s="24">
        <v>29.955103104079502</v>
      </c>
      <c r="K61" s="24">
        <v>29.454257545243099</v>
      </c>
      <c r="L61" s="24">
        <v>29.139169143010299</v>
      </c>
      <c r="M61" s="24">
        <v>28.8240807407775</v>
      </c>
      <c r="N61" s="24">
        <v>28.064918229018399</v>
      </c>
      <c r="O61" s="24">
        <v>23.726800702005701</v>
      </c>
      <c r="P61" s="24">
        <v>21.119817403960099</v>
      </c>
      <c r="Q61" s="24">
        <v>15.334421454594599</v>
      </c>
      <c r="R61" s="25">
        <v>4.2074648891017796</v>
      </c>
    </row>
    <row r="62" spans="1:18" x14ac:dyDescent="0.3">
      <c r="A62" s="18">
        <v>8.0267558500000007</v>
      </c>
      <c r="B62" s="23">
        <v>115.070831628359</v>
      </c>
      <c r="C62" s="24">
        <v>64.928308968887606</v>
      </c>
      <c r="D62" s="24">
        <v>48.8043322758543</v>
      </c>
      <c r="E62" s="24">
        <v>44.585906207698301</v>
      </c>
      <c r="F62" s="24">
        <v>41.5367489295014</v>
      </c>
      <c r="G62" s="24">
        <v>39.624926226186901</v>
      </c>
      <c r="H62" s="24">
        <v>37.343830100005597</v>
      </c>
      <c r="I62" s="24">
        <v>32.126813561052998</v>
      </c>
      <c r="J62" s="24">
        <v>30.017986885451499</v>
      </c>
      <c r="K62" s="24">
        <v>29.535682927507899</v>
      </c>
      <c r="L62" s="24">
        <v>29.225932010011501</v>
      </c>
      <c r="M62" s="24">
        <v>28.916181092515</v>
      </c>
      <c r="N62" s="24">
        <v>28.092705995314901</v>
      </c>
      <c r="O62" s="24">
        <v>24.040349188146301</v>
      </c>
      <c r="P62" s="24">
        <v>21.596072952903199</v>
      </c>
      <c r="Q62" s="24">
        <v>15.5807669013106</v>
      </c>
      <c r="R62" s="25">
        <v>4.2211493787475698</v>
      </c>
    </row>
    <row r="63" spans="1:18" x14ac:dyDescent="0.3">
      <c r="A63" s="18">
        <v>8.1605351200000005</v>
      </c>
      <c r="B63" s="23">
        <v>116.188069822166</v>
      </c>
      <c r="C63" s="24">
        <v>65.065215451731405</v>
      </c>
      <c r="D63" s="24">
        <v>49.2241008137036</v>
      </c>
      <c r="E63" s="24">
        <v>44.651610644482702</v>
      </c>
      <c r="F63" s="24">
        <v>41.582138078340499</v>
      </c>
      <c r="G63" s="24">
        <v>39.667026663244798</v>
      </c>
      <c r="H63" s="24">
        <v>37.362277268169201</v>
      </c>
      <c r="I63" s="24">
        <v>32.150840453966303</v>
      </c>
      <c r="J63" s="24">
        <v>30.0808706668235</v>
      </c>
      <c r="K63" s="24">
        <v>29.617108309772799</v>
      </c>
      <c r="L63" s="24">
        <v>29.3126948770126</v>
      </c>
      <c r="M63" s="24">
        <v>29.0082814442525</v>
      </c>
      <c r="N63" s="24">
        <v>28.120493761611399</v>
      </c>
      <c r="O63" s="24">
        <v>24.353897674286799</v>
      </c>
      <c r="P63" s="24">
        <v>22.0723285018463</v>
      </c>
      <c r="Q63" s="24">
        <v>15.8271123480267</v>
      </c>
      <c r="R63" s="25">
        <v>4.23483386839336</v>
      </c>
    </row>
    <row r="64" spans="1:18" x14ac:dyDescent="0.3">
      <c r="A64" s="18">
        <v>8.2943143799999994</v>
      </c>
      <c r="B64" s="23">
        <v>117.305308015973</v>
      </c>
      <c r="C64" s="24">
        <v>65.202121934575104</v>
      </c>
      <c r="D64" s="24">
        <v>49.643869351552901</v>
      </c>
      <c r="E64" s="24">
        <v>44.717315081267003</v>
      </c>
      <c r="F64" s="24">
        <v>41.627527227179598</v>
      </c>
      <c r="G64" s="24">
        <v>39.709127100302702</v>
      </c>
      <c r="H64" s="24">
        <v>37.380724436332798</v>
      </c>
      <c r="I64" s="24">
        <v>32.174867346879601</v>
      </c>
      <c r="J64" s="24">
        <v>30.143754448195601</v>
      </c>
      <c r="K64" s="24">
        <v>29.6985336920376</v>
      </c>
      <c r="L64" s="24">
        <v>29.399457744013802</v>
      </c>
      <c r="M64" s="24">
        <v>29.10038179599</v>
      </c>
      <c r="N64" s="24">
        <v>28.148281527907901</v>
      </c>
      <c r="O64" s="24">
        <v>24.667446160427399</v>
      </c>
      <c r="P64" s="24">
        <v>22.548584050789401</v>
      </c>
      <c r="Q64" s="24">
        <v>16.073457794742801</v>
      </c>
      <c r="R64" s="25">
        <v>4.2485183580391501</v>
      </c>
    </row>
    <row r="65" spans="1:18" x14ac:dyDescent="0.3">
      <c r="A65" s="18">
        <v>8.4280936499999992</v>
      </c>
      <c r="B65" s="23">
        <v>118.42254620977999</v>
      </c>
      <c r="C65" s="24">
        <v>65.339028417418803</v>
      </c>
      <c r="D65" s="24">
        <v>50.063637889402202</v>
      </c>
      <c r="E65" s="24">
        <v>44.783019518051397</v>
      </c>
      <c r="F65" s="24">
        <v>41.672916376018598</v>
      </c>
      <c r="G65" s="24">
        <v>39.751227537360599</v>
      </c>
      <c r="H65" s="24">
        <v>37.399171604496402</v>
      </c>
      <c r="I65" s="24">
        <v>32.198894239792899</v>
      </c>
      <c r="J65" s="24">
        <v>30.206638229567599</v>
      </c>
      <c r="K65" s="24">
        <v>29.779959074302401</v>
      </c>
      <c r="L65" s="24">
        <v>29.486220611015</v>
      </c>
      <c r="M65" s="24">
        <v>29.1924821477275</v>
      </c>
      <c r="N65" s="24">
        <v>28.1760692942044</v>
      </c>
      <c r="O65" s="24">
        <v>24.980994646568</v>
      </c>
      <c r="P65" s="24">
        <v>23.024839599732498</v>
      </c>
      <c r="Q65" s="24">
        <v>16.3198032414588</v>
      </c>
      <c r="R65" s="25">
        <v>4.2622028476849501</v>
      </c>
    </row>
    <row r="66" spans="1:18" x14ac:dyDescent="0.3">
      <c r="A66" s="18">
        <v>8.5618729099999999</v>
      </c>
      <c r="B66" s="23">
        <v>119.53978440358701</v>
      </c>
      <c r="C66" s="24">
        <v>65.475934900262601</v>
      </c>
      <c r="D66" s="24">
        <v>50.483406427251403</v>
      </c>
      <c r="E66" s="24">
        <v>44.848723954835698</v>
      </c>
      <c r="F66" s="24">
        <v>41.718305524857698</v>
      </c>
      <c r="G66" s="24">
        <v>39.793327974418503</v>
      </c>
      <c r="H66" s="24">
        <v>37.417618772659999</v>
      </c>
      <c r="I66" s="24">
        <v>32.222921132706297</v>
      </c>
      <c r="J66" s="24">
        <v>30.269522010939699</v>
      </c>
      <c r="K66" s="24">
        <v>29.861384456567301</v>
      </c>
      <c r="L66" s="24">
        <v>29.572983478016099</v>
      </c>
      <c r="M66" s="24">
        <v>29.284582499464999</v>
      </c>
      <c r="N66" s="24">
        <v>28.203857060500901</v>
      </c>
      <c r="O66" s="24">
        <v>25.294543132708501</v>
      </c>
      <c r="P66" s="24">
        <v>23.501095148675599</v>
      </c>
      <c r="Q66" s="24">
        <v>16.566148688174898</v>
      </c>
      <c r="R66" s="25">
        <v>4.2758873373307402</v>
      </c>
    </row>
    <row r="67" spans="1:18" x14ac:dyDescent="0.3">
      <c r="A67" s="18">
        <v>8.6956521700000007</v>
      </c>
      <c r="B67" s="23">
        <v>120.657022597394</v>
      </c>
      <c r="C67" s="24">
        <v>65.6128413831063</v>
      </c>
      <c r="D67" s="24">
        <v>50.903174965100703</v>
      </c>
      <c r="E67" s="24">
        <v>44.914428391620099</v>
      </c>
      <c r="F67" s="24">
        <v>41.763694673696797</v>
      </c>
      <c r="G67" s="24">
        <v>39.835428411476499</v>
      </c>
      <c r="H67" s="24">
        <v>37.436065940823603</v>
      </c>
      <c r="I67" s="24">
        <v>32.246948025619602</v>
      </c>
      <c r="J67" s="24">
        <v>30.3324057923117</v>
      </c>
      <c r="K67" s="24">
        <v>29.942809838832101</v>
      </c>
      <c r="L67" s="24">
        <v>29.6597463450173</v>
      </c>
      <c r="M67" s="24">
        <v>29.376682851202499</v>
      </c>
      <c r="N67" s="24">
        <v>28.2316448267974</v>
      </c>
      <c r="O67" s="24">
        <v>25.608091618849102</v>
      </c>
      <c r="P67" s="24">
        <v>23.9773506976187</v>
      </c>
      <c r="Q67" s="24">
        <v>16.812494134890901</v>
      </c>
      <c r="R67" s="25">
        <v>4.2895718269765304</v>
      </c>
    </row>
    <row r="68" spans="1:18" x14ac:dyDescent="0.3">
      <c r="A68" s="18">
        <v>8.8294314400000005</v>
      </c>
      <c r="B68" s="23">
        <v>121.774260791202</v>
      </c>
      <c r="C68" s="24">
        <v>65.749747865949999</v>
      </c>
      <c r="D68" s="24">
        <v>51.322943502949997</v>
      </c>
      <c r="E68" s="24">
        <v>44.9801328284044</v>
      </c>
      <c r="F68" s="24">
        <v>41.809083822535897</v>
      </c>
      <c r="G68" s="24">
        <v>39.877528848534403</v>
      </c>
      <c r="H68" s="24">
        <v>37.4545131089872</v>
      </c>
      <c r="I68" s="24">
        <v>32.2709749185329</v>
      </c>
      <c r="J68" s="24">
        <v>30.395289573683701</v>
      </c>
      <c r="K68" s="24">
        <v>30.024235221096902</v>
      </c>
      <c r="L68" s="24">
        <v>29.746509212018498</v>
      </c>
      <c r="M68" s="24">
        <v>29.468783202939999</v>
      </c>
      <c r="N68" s="24">
        <v>28.259432593093901</v>
      </c>
      <c r="O68" s="24">
        <v>25.921640104989599</v>
      </c>
      <c r="P68" s="24">
        <v>24.453606246561801</v>
      </c>
      <c r="Q68" s="24">
        <v>17.058839581607</v>
      </c>
      <c r="R68" s="25">
        <v>4.3032563166223197</v>
      </c>
    </row>
    <row r="69" spans="1:18" x14ac:dyDescent="0.3">
      <c r="A69" s="18">
        <v>8.9632106999999994</v>
      </c>
      <c r="B69" s="23">
        <v>122.89149898500899</v>
      </c>
      <c r="C69" s="24">
        <v>65.886654348793797</v>
      </c>
      <c r="D69" s="24">
        <v>51.742712040799297</v>
      </c>
      <c r="E69" s="24">
        <v>45.045837265188801</v>
      </c>
      <c r="F69" s="24">
        <v>41.854472971375003</v>
      </c>
      <c r="G69" s="24">
        <v>39.919629285592301</v>
      </c>
      <c r="H69" s="24">
        <v>37.472960277150797</v>
      </c>
      <c r="I69" s="24">
        <v>32.295001811446198</v>
      </c>
      <c r="J69" s="24">
        <v>30.458173355055798</v>
      </c>
      <c r="K69" s="24">
        <v>30.105660603361802</v>
      </c>
      <c r="L69" s="24">
        <v>29.833272079019601</v>
      </c>
      <c r="M69" s="24">
        <v>29.560883554677499</v>
      </c>
      <c r="N69" s="24">
        <v>28.2872203593904</v>
      </c>
      <c r="O69" s="24">
        <v>26.2351885911302</v>
      </c>
      <c r="P69" s="24">
        <v>24.929861795504898</v>
      </c>
      <c r="Q69" s="24">
        <v>17.305185028322999</v>
      </c>
      <c r="R69" s="25">
        <v>4.3169408062681196</v>
      </c>
    </row>
    <row r="70" spans="1:18" x14ac:dyDescent="0.3">
      <c r="A70" s="18">
        <v>9.0969899699999992</v>
      </c>
      <c r="B70" s="23">
        <v>124.00873717881601</v>
      </c>
      <c r="C70" s="24">
        <v>66.023560831637496</v>
      </c>
      <c r="D70" s="24">
        <v>52.162480578648598</v>
      </c>
      <c r="E70" s="24">
        <v>45.111541701973202</v>
      </c>
      <c r="F70" s="24">
        <v>41.899862120214102</v>
      </c>
      <c r="G70" s="24">
        <v>39.961729722650198</v>
      </c>
      <c r="H70" s="24">
        <v>37.491407445314401</v>
      </c>
      <c r="I70" s="24">
        <v>32.319028704359503</v>
      </c>
      <c r="J70" s="24">
        <v>30.5210571364278</v>
      </c>
      <c r="K70" s="24">
        <v>30.187085985626599</v>
      </c>
      <c r="L70" s="24">
        <v>29.920034946020799</v>
      </c>
      <c r="M70" s="24">
        <v>29.652983906414999</v>
      </c>
      <c r="N70" s="24">
        <v>28.315008125686902</v>
      </c>
      <c r="O70" s="24">
        <v>26.548737077270701</v>
      </c>
      <c r="P70" s="24">
        <v>25.406117344447999</v>
      </c>
      <c r="Q70" s="24">
        <v>17.551530475039101</v>
      </c>
      <c r="R70" s="25">
        <v>4.3306252959139098</v>
      </c>
    </row>
    <row r="71" spans="1:18" x14ac:dyDescent="0.3">
      <c r="A71" s="18">
        <v>9.2307692299999999</v>
      </c>
      <c r="B71" s="23">
        <v>125.125975372623</v>
      </c>
      <c r="C71" s="24">
        <v>66.160467314481195</v>
      </c>
      <c r="D71" s="24">
        <v>52.582249116497898</v>
      </c>
      <c r="E71" s="24">
        <v>45.177246138757504</v>
      </c>
      <c r="F71" s="24">
        <v>41.945251269053202</v>
      </c>
      <c r="G71" s="24">
        <v>40.003830159708102</v>
      </c>
      <c r="H71" s="24">
        <v>37.509854613477998</v>
      </c>
      <c r="I71" s="24">
        <v>32.343055597272802</v>
      </c>
      <c r="J71" s="24">
        <v>30.583940917799801</v>
      </c>
      <c r="K71" s="24">
        <v>30.268511367891399</v>
      </c>
      <c r="L71" s="24">
        <v>30.006797813021901</v>
      </c>
      <c r="M71" s="24">
        <v>29.745084258152499</v>
      </c>
      <c r="N71" s="24">
        <v>28.3427958919833</v>
      </c>
      <c r="O71" s="24">
        <v>26.862285563411302</v>
      </c>
      <c r="P71" s="24">
        <v>25.882372893391199</v>
      </c>
      <c r="Q71" s="24">
        <v>17.7978759217551</v>
      </c>
      <c r="R71" s="25">
        <v>4.3443097855596999</v>
      </c>
    </row>
    <row r="72" spans="1:18" x14ac:dyDescent="0.3">
      <c r="A72" s="18">
        <v>9.3645484900000007</v>
      </c>
      <c r="B72" s="23">
        <v>126.24321356643</v>
      </c>
      <c r="C72" s="24">
        <v>66.297373797324994</v>
      </c>
      <c r="D72" s="24">
        <v>53.0020176543471</v>
      </c>
      <c r="E72" s="24">
        <v>45.242950575541897</v>
      </c>
      <c r="F72" s="24">
        <v>41.990640417892301</v>
      </c>
      <c r="G72" s="24">
        <v>40.045930596765999</v>
      </c>
      <c r="H72" s="24">
        <v>37.528301781641602</v>
      </c>
      <c r="I72" s="24">
        <v>32.367082490186199</v>
      </c>
      <c r="J72" s="24">
        <v>30.646824699171901</v>
      </c>
      <c r="K72" s="24">
        <v>30.349936750156299</v>
      </c>
      <c r="L72" s="24">
        <v>30.093560680023099</v>
      </c>
      <c r="M72" s="24">
        <v>29.837184609889999</v>
      </c>
      <c r="N72" s="24">
        <v>28.370583658279799</v>
      </c>
      <c r="O72" s="24">
        <v>27.175834049551799</v>
      </c>
      <c r="P72" s="24">
        <v>26.3586284423343</v>
      </c>
      <c r="Q72" s="24">
        <v>18.044221368471199</v>
      </c>
      <c r="R72" s="25">
        <v>4.3579942752054999</v>
      </c>
    </row>
    <row r="73" spans="1:18" x14ac:dyDescent="0.3">
      <c r="A73" s="18">
        <v>9.4983277600000005</v>
      </c>
      <c r="B73" s="23">
        <v>127.360451760237</v>
      </c>
      <c r="C73" s="24">
        <v>66.434280280168693</v>
      </c>
      <c r="D73" s="24">
        <v>53.4217861921964</v>
      </c>
      <c r="E73" s="24">
        <v>45.308655012326199</v>
      </c>
      <c r="F73" s="24">
        <v>42.036029566731401</v>
      </c>
      <c r="G73" s="24">
        <v>40.088031033823903</v>
      </c>
      <c r="H73" s="24">
        <v>37.546748949805199</v>
      </c>
      <c r="I73" s="24">
        <v>32.391109383099497</v>
      </c>
      <c r="J73" s="24">
        <v>30.709708480543899</v>
      </c>
      <c r="K73" s="24">
        <v>30.4313621324211</v>
      </c>
      <c r="L73" s="24">
        <v>30.180323547024301</v>
      </c>
      <c r="M73" s="24">
        <v>29.929284961627499</v>
      </c>
      <c r="N73" s="24">
        <v>28.3983714245763</v>
      </c>
      <c r="O73" s="24">
        <v>27.4893825356924</v>
      </c>
      <c r="P73" s="24">
        <v>26.834883991277401</v>
      </c>
      <c r="Q73" s="24">
        <v>18.290566815187201</v>
      </c>
      <c r="R73" s="25">
        <v>4.37167876485129</v>
      </c>
    </row>
    <row r="74" spans="1:18" x14ac:dyDescent="0.3">
      <c r="A74" s="18">
        <v>9.6321070199999994</v>
      </c>
      <c r="B74" s="23">
        <v>128.477689954044</v>
      </c>
      <c r="C74" s="24">
        <v>66.571186763012406</v>
      </c>
      <c r="D74" s="24">
        <v>53.841554730045701</v>
      </c>
      <c r="E74" s="24">
        <v>45.374359449110599</v>
      </c>
      <c r="F74" s="24">
        <v>42.0814187155705</v>
      </c>
      <c r="G74" s="24">
        <v>40.1301314708818</v>
      </c>
      <c r="H74" s="24">
        <v>37.565196117968803</v>
      </c>
      <c r="I74" s="24">
        <v>32.415136276012802</v>
      </c>
      <c r="J74" s="24">
        <v>30.772592261916</v>
      </c>
      <c r="K74" s="24">
        <v>30.5127875146859</v>
      </c>
      <c r="L74" s="24">
        <v>30.2670864140254</v>
      </c>
      <c r="M74" s="24">
        <v>30.021385313364998</v>
      </c>
      <c r="N74" s="24">
        <v>28.426159190872799</v>
      </c>
      <c r="O74" s="24">
        <v>27.802931021832901</v>
      </c>
      <c r="P74" s="24">
        <v>27.311139540220498</v>
      </c>
      <c r="Q74" s="24">
        <v>18.5369122619033</v>
      </c>
      <c r="R74" s="25">
        <v>4.3853632544970802</v>
      </c>
    </row>
    <row r="75" spans="1:18" x14ac:dyDescent="0.3">
      <c r="A75" s="18">
        <v>9.7658862899999992</v>
      </c>
      <c r="B75" s="23">
        <v>129.59492814785099</v>
      </c>
      <c r="C75" s="24">
        <v>66.708093245856105</v>
      </c>
      <c r="D75" s="24">
        <v>54.261323267895001</v>
      </c>
      <c r="E75" s="24">
        <v>45.440063885894901</v>
      </c>
      <c r="F75" s="24">
        <v>42.126807864409599</v>
      </c>
      <c r="G75" s="24">
        <v>40.172231907939697</v>
      </c>
      <c r="H75" s="24">
        <v>37.5836432861324</v>
      </c>
      <c r="I75" s="24">
        <v>32.4391631689261</v>
      </c>
      <c r="J75" s="24">
        <v>30.835476043288001</v>
      </c>
      <c r="K75" s="24">
        <v>30.5942128969508</v>
      </c>
      <c r="L75" s="24">
        <v>30.353849281026601</v>
      </c>
      <c r="M75" s="24">
        <v>30.113485665102498</v>
      </c>
      <c r="N75" s="24">
        <v>28.4539469571693</v>
      </c>
      <c r="O75" s="24">
        <v>28.116479507973501</v>
      </c>
      <c r="P75" s="24">
        <v>27.787395089163599</v>
      </c>
      <c r="Q75" s="24">
        <v>18.783257708619299</v>
      </c>
      <c r="R75" s="25">
        <v>4.3990477441428704</v>
      </c>
    </row>
    <row r="76" spans="1:18" x14ac:dyDescent="0.3">
      <c r="A76" s="18">
        <v>9.8996655499999999</v>
      </c>
      <c r="B76" s="23">
        <v>129.68351446216101</v>
      </c>
      <c r="C76" s="24">
        <v>66.735780461891494</v>
      </c>
      <c r="D76" s="24">
        <v>54.339866057276801</v>
      </c>
      <c r="E76" s="24">
        <v>45.450288262294499</v>
      </c>
      <c r="F76" s="24">
        <v>42.207790781883297</v>
      </c>
      <c r="G76" s="24">
        <v>40.306295348720901</v>
      </c>
      <c r="H76" s="24">
        <v>37.786548283186697</v>
      </c>
      <c r="I76" s="24">
        <v>32.767640556434401</v>
      </c>
      <c r="J76" s="24">
        <v>31.156233483814901</v>
      </c>
      <c r="K76" s="24">
        <v>30.853792303279899</v>
      </c>
      <c r="L76" s="24">
        <v>30.551957169468398</v>
      </c>
      <c r="M76" s="24">
        <v>30.212503520051701</v>
      </c>
      <c r="N76" s="24">
        <v>28.5103199290667</v>
      </c>
      <c r="O76" s="24">
        <v>28.195304250063401</v>
      </c>
      <c r="P76" s="24">
        <v>27.832061941288298</v>
      </c>
      <c r="Q76" s="24">
        <v>18.845950330217399</v>
      </c>
      <c r="R76" s="25">
        <v>4.4305899523561001</v>
      </c>
    </row>
    <row r="77" spans="1:18" x14ac:dyDescent="0.3">
      <c r="A77" s="18">
        <v>10.03344482</v>
      </c>
      <c r="B77" s="23">
        <v>129.69690087381099</v>
      </c>
      <c r="C77" s="24">
        <v>66.755483170829507</v>
      </c>
      <c r="D77" s="24">
        <v>54.3934634364755</v>
      </c>
      <c r="E77" s="24">
        <v>45.456456752321102</v>
      </c>
      <c r="F77" s="24">
        <v>42.291375792436398</v>
      </c>
      <c r="G77" s="24">
        <v>40.447081772336297</v>
      </c>
      <c r="H77" s="24">
        <v>38.002938124875001</v>
      </c>
      <c r="I77" s="24">
        <v>33.118374888215598</v>
      </c>
      <c r="J77" s="24">
        <v>31.4958428551586</v>
      </c>
      <c r="K77" s="24">
        <v>31.126395712709702</v>
      </c>
      <c r="L77" s="24">
        <v>30.7582049689344</v>
      </c>
      <c r="M77" s="24">
        <v>30.3120270811377</v>
      </c>
      <c r="N77" s="24">
        <v>28.568782630950999</v>
      </c>
      <c r="O77" s="24">
        <v>28.256969442789501</v>
      </c>
      <c r="P77" s="24">
        <v>27.845177372921299</v>
      </c>
      <c r="Q77" s="24">
        <v>18.895216957222701</v>
      </c>
      <c r="R77" s="25">
        <v>4.4634376544149701</v>
      </c>
    </row>
    <row r="78" spans="1:18" x14ac:dyDescent="0.3">
      <c r="A78" s="18">
        <v>10.16722408</v>
      </c>
      <c r="B78" s="23">
        <v>129.71028728546099</v>
      </c>
      <c r="C78" s="24">
        <v>66.775185879767506</v>
      </c>
      <c r="D78" s="24">
        <v>54.447060815674298</v>
      </c>
      <c r="E78" s="24">
        <v>45.462625242347698</v>
      </c>
      <c r="F78" s="24">
        <v>42.374960802989399</v>
      </c>
      <c r="G78" s="24">
        <v>40.5878681959517</v>
      </c>
      <c r="H78" s="24">
        <v>38.219327966563199</v>
      </c>
      <c r="I78" s="24">
        <v>33.469109219996803</v>
      </c>
      <c r="J78" s="24">
        <v>31.835452226502301</v>
      </c>
      <c r="K78" s="24">
        <v>31.3989991221395</v>
      </c>
      <c r="L78" s="24">
        <v>30.964452768400399</v>
      </c>
      <c r="M78" s="24">
        <v>30.411550642223698</v>
      </c>
      <c r="N78" s="24">
        <v>28.627245332835301</v>
      </c>
      <c r="O78" s="24">
        <v>28.3186346355156</v>
      </c>
      <c r="P78" s="24">
        <v>27.858292804554299</v>
      </c>
      <c r="Q78" s="24">
        <v>18.9444835842279</v>
      </c>
      <c r="R78" s="25">
        <v>4.4962853564738303</v>
      </c>
    </row>
    <row r="79" spans="1:18" x14ac:dyDescent="0.3">
      <c r="A79" s="18">
        <v>10.301003339999999</v>
      </c>
      <c r="B79" s="23">
        <v>129.723673697111</v>
      </c>
      <c r="C79" s="24">
        <v>66.794888588705604</v>
      </c>
      <c r="D79" s="24">
        <v>54.500658194872997</v>
      </c>
      <c r="E79" s="24">
        <v>45.468793732374401</v>
      </c>
      <c r="F79" s="24">
        <v>42.458545813542401</v>
      </c>
      <c r="G79" s="24">
        <v>40.728654619567202</v>
      </c>
      <c r="H79" s="24">
        <v>38.435717808251397</v>
      </c>
      <c r="I79" s="24">
        <v>33.819843551778</v>
      </c>
      <c r="J79" s="24">
        <v>32.175061597846003</v>
      </c>
      <c r="K79" s="24">
        <v>31.671602531569299</v>
      </c>
      <c r="L79" s="24">
        <v>31.170700567866401</v>
      </c>
      <c r="M79" s="24">
        <v>30.5110742033097</v>
      </c>
      <c r="N79" s="24">
        <v>28.6857080347196</v>
      </c>
      <c r="O79" s="24">
        <v>28.3802998282417</v>
      </c>
      <c r="P79" s="24">
        <v>27.8714082361873</v>
      </c>
      <c r="Q79" s="24">
        <v>18.993750211233198</v>
      </c>
      <c r="R79" s="25">
        <v>4.5291330585327003</v>
      </c>
    </row>
    <row r="80" spans="1:18" x14ac:dyDescent="0.3">
      <c r="A80" s="18">
        <v>10.434782609999999</v>
      </c>
      <c r="B80" s="23">
        <v>129.737060108761</v>
      </c>
      <c r="C80" s="24">
        <v>66.814591297643602</v>
      </c>
      <c r="D80" s="24">
        <v>54.554255574071703</v>
      </c>
      <c r="E80" s="24">
        <v>45.474962222400997</v>
      </c>
      <c r="F80" s="24">
        <v>42.542130824095501</v>
      </c>
      <c r="G80" s="24">
        <v>40.869441043182597</v>
      </c>
      <c r="H80" s="24">
        <v>38.652107649939701</v>
      </c>
      <c r="I80" s="24">
        <v>34.170577883559098</v>
      </c>
      <c r="J80" s="24">
        <v>32.514670969189702</v>
      </c>
      <c r="K80" s="24">
        <v>31.944205940999002</v>
      </c>
      <c r="L80" s="24">
        <v>31.3769483673324</v>
      </c>
      <c r="M80" s="24">
        <v>30.610597764395798</v>
      </c>
      <c r="N80" s="24">
        <v>28.744170736603898</v>
      </c>
      <c r="O80" s="24">
        <v>28.4419650209678</v>
      </c>
      <c r="P80" s="24">
        <v>27.8845236678203</v>
      </c>
      <c r="Q80" s="24">
        <v>19.043016838238501</v>
      </c>
      <c r="R80" s="25">
        <v>4.5619807605915703</v>
      </c>
    </row>
    <row r="81" spans="1:18" x14ac:dyDescent="0.3">
      <c r="A81" s="18">
        <v>10.56856187</v>
      </c>
      <c r="B81" s="23">
        <v>129.750446520411</v>
      </c>
      <c r="C81" s="24">
        <v>66.834294006581601</v>
      </c>
      <c r="D81" s="24">
        <v>54.607852953270402</v>
      </c>
      <c r="E81" s="24">
        <v>45.481130712427699</v>
      </c>
      <c r="F81" s="24">
        <v>42.625715834648503</v>
      </c>
      <c r="G81" s="24">
        <v>41.010227466798</v>
      </c>
      <c r="H81" s="24">
        <v>38.868497491627899</v>
      </c>
      <c r="I81" s="24">
        <v>34.521312215340302</v>
      </c>
      <c r="J81" s="24">
        <v>32.8542803405334</v>
      </c>
      <c r="K81" s="24">
        <v>32.216809350428797</v>
      </c>
      <c r="L81" s="24">
        <v>31.583196166798299</v>
      </c>
      <c r="M81" s="24">
        <v>30.710121325481801</v>
      </c>
      <c r="N81" s="24">
        <v>28.802633438488201</v>
      </c>
      <c r="O81" s="24">
        <v>28.503630213693899</v>
      </c>
      <c r="P81" s="24">
        <v>27.897639099453301</v>
      </c>
      <c r="Q81" s="24">
        <v>19.092283465243799</v>
      </c>
      <c r="R81" s="25">
        <v>4.5948284626504297</v>
      </c>
    </row>
    <row r="82" spans="1:18" x14ac:dyDescent="0.3">
      <c r="A82" s="18">
        <v>10.70234114</v>
      </c>
      <c r="B82" s="23">
        <v>129.76383293206101</v>
      </c>
      <c r="C82" s="24">
        <v>66.8539967155196</v>
      </c>
      <c r="D82" s="24">
        <v>54.661450332469101</v>
      </c>
      <c r="E82" s="24">
        <v>45.487299202454302</v>
      </c>
      <c r="F82" s="24">
        <v>42.709300845201497</v>
      </c>
      <c r="G82" s="24">
        <v>41.151013890413402</v>
      </c>
      <c r="H82" s="24">
        <v>39.084887333316097</v>
      </c>
      <c r="I82" s="24">
        <v>34.872046547121499</v>
      </c>
      <c r="J82" s="24">
        <v>33.193889711877098</v>
      </c>
      <c r="K82" s="24">
        <v>32.489412759858602</v>
      </c>
      <c r="L82" s="24">
        <v>31.789443966264301</v>
      </c>
      <c r="M82" s="24">
        <v>30.809644886567799</v>
      </c>
      <c r="N82" s="24">
        <v>28.861096140372499</v>
      </c>
      <c r="O82" s="24">
        <v>28.565295406419999</v>
      </c>
      <c r="P82" s="24">
        <v>27.910754531086301</v>
      </c>
      <c r="Q82" s="24">
        <v>19.141550092248998</v>
      </c>
      <c r="R82" s="25">
        <v>4.6276761647092997</v>
      </c>
    </row>
    <row r="83" spans="1:18" x14ac:dyDescent="0.3">
      <c r="A83" s="18">
        <v>10.8361204</v>
      </c>
      <c r="B83" s="23">
        <v>129.77721934371201</v>
      </c>
      <c r="C83" s="24">
        <v>66.873699424457698</v>
      </c>
      <c r="D83" s="24">
        <v>54.7150477116679</v>
      </c>
      <c r="E83" s="24">
        <v>45.493467692480898</v>
      </c>
      <c r="F83" s="24">
        <v>42.792885855754598</v>
      </c>
      <c r="G83" s="24">
        <v>41.291800314028798</v>
      </c>
      <c r="H83" s="24">
        <v>39.301277175004401</v>
      </c>
      <c r="I83" s="24">
        <v>35.222780878902697</v>
      </c>
      <c r="J83" s="24">
        <v>33.533499083220804</v>
      </c>
      <c r="K83" s="24">
        <v>32.762016169288401</v>
      </c>
      <c r="L83" s="24">
        <v>31.995691765730299</v>
      </c>
      <c r="M83" s="24">
        <v>30.909168447653901</v>
      </c>
      <c r="N83" s="24">
        <v>28.919558842256802</v>
      </c>
      <c r="O83" s="24">
        <v>28.626960599146098</v>
      </c>
      <c r="P83" s="24">
        <v>27.923869962719301</v>
      </c>
      <c r="Q83" s="24">
        <v>19.1908167192543</v>
      </c>
      <c r="R83" s="25">
        <v>4.6605238667681697</v>
      </c>
    </row>
    <row r="84" spans="1:18" x14ac:dyDescent="0.3">
      <c r="A84" s="18">
        <v>10.96989967</v>
      </c>
      <c r="B84" s="23">
        <v>129.79060575536201</v>
      </c>
      <c r="C84" s="24">
        <v>66.893402133395696</v>
      </c>
      <c r="D84" s="24">
        <v>54.768645090866599</v>
      </c>
      <c r="E84" s="24">
        <v>45.499636182507601</v>
      </c>
      <c r="F84" s="24">
        <v>42.876470866307599</v>
      </c>
      <c r="G84" s="24">
        <v>41.432586737644201</v>
      </c>
      <c r="H84" s="24">
        <v>39.517667016692599</v>
      </c>
      <c r="I84" s="24">
        <v>35.573515210683901</v>
      </c>
      <c r="J84" s="24">
        <v>33.873108454564502</v>
      </c>
      <c r="K84" s="24">
        <v>33.0346195787182</v>
      </c>
      <c r="L84" s="24">
        <v>32.201939565196298</v>
      </c>
      <c r="M84" s="24">
        <v>31.008692008739899</v>
      </c>
      <c r="N84" s="24">
        <v>28.9780215441411</v>
      </c>
      <c r="O84" s="24">
        <v>28.688625791872202</v>
      </c>
      <c r="P84" s="24">
        <v>27.936985394352298</v>
      </c>
      <c r="Q84" s="24">
        <v>19.240083346259599</v>
      </c>
      <c r="R84" s="25">
        <v>4.6933715688270299</v>
      </c>
    </row>
    <row r="85" spans="1:18" x14ac:dyDescent="0.3">
      <c r="A85" s="18">
        <v>11.103678929999999</v>
      </c>
      <c r="B85" s="23">
        <v>129.80399216701201</v>
      </c>
      <c r="C85" s="24">
        <v>66.913104842333695</v>
      </c>
      <c r="D85" s="24">
        <v>54.822242470065298</v>
      </c>
      <c r="E85" s="24">
        <v>45.505804672534197</v>
      </c>
      <c r="F85" s="24">
        <v>42.960055876860601</v>
      </c>
      <c r="G85" s="24">
        <v>41.573373161259603</v>
      </c>
      <c r="H85" s="24">
        <v>39.734056858380796</v>
      </c>
      <c r="I85" s="24">
        <v>35.924249542464999</v>
      </c>
      <c r="J85" s="24">
        <v>34.2127178259082</v>
      </c>
      <c r="K85" s="24">
        <v>33.307222988147899</v>
      </c>
      <c r="L85" s="24">
        <v>32.408187364662297</v>
      </c>
      <c r="M85" s="24">
        <v>31.108215569825902</v>
      </c>
      <c r="N85" s="24">
        <v>29.036484246025399</v>
      </c>
      <c r="O85" s="24">
        <v>28.750290984598301</v>
      </c>
      <c r="P85" s="24">
        <v>27.950100825985299</v>
      </c>
      <c r="Q85" s="24">
        <v>19.289349973264802</v>
      </c>
      <c r="R85" s="25">
        <v>4.7262192708858999</v>
      </c>
    </row>
    <row r="86" spans="1:18" x14ac:dyDescent="0.3">
      <c r="A86" s="18">
        <v>11.23745819</v>
      </c>
      <c r="B86" s="23">
        <v>129.81737857866199</v>
      </c>
      <c r="C86" s="24">
        <v>66.932807551271694</v>
      </c>
      <c r="D86" s="24">
        <v>54.875839849263997</v>
      </c>
      <c r="E86" s="24">
        <v>45.511973162560899</v>
      </c>
      <c r="F86" s="24">
        <v>43.043640887413702</v>
      </c>
      <c r="G86" s="24">
        <v>41.714159584874999</v>
      </c>
      <c r="H86" s="24">
        <v>39.950446700069101</v>
      </c>
      <c r="I86" s="24">
        <v>36.274983874246203</v>
      </c>
      <c r="J86" s="24">
        <v>34.552327197251898</v>
      </c>
      <c r="K86" s="24">
        <v>33.579826397577698</v>
      </c>
      <c r="L86" s="24">
        <v>32.614435164128302</v>
      </c>
      <c r="M86" s="24">
        <v>31.2077391309119</v>
      </c>
      <c r="N86" s="24">
        <v>29.094946947909701</v>
      </c>
      <c r="O86" s="24">
        <v>28.811956177324401</v>
      </c>
      <c r="P86" s="24">
        <v>27.963216257618299</v>
      </c>
      <c r="Q86" s="24">
        <v>19.3386166002701</v>
      </c>
      <c r="R86" s="25">
        <v>4.7590669729447601</v>
      </c>
    </row>
    <row r="87" spans="1:18" x14ac:dyDescent="0.3">
      <c r="A87" s="18">
        <v>11.37123746</v>
      </c>
      <c r="B87" s="23">
        <v>129.83076499031199</v>
      </c>
      <c r="C87" s="24">
        <v>66.952510260209706</v>
      </c>
      <c r="D87" s="24">
        <v>54.929437228462803</v>
      </c>
      <c r="E87" s="24">
        <v>45.518141652587502</v>
      </c>
      <c r="F87" s="24">
        <v>43.127225897966703</v>
      </c>
      <c r="G87" s="24">
        <v>41.854946008490501</v>
      </c>
      <c r="H87" s="24">
        <v>40.166836541757299</v>
      </c>
      <c r="I87" s="24">
        <v>36.6257182060274</v>
      </c>
      <c r="J87" s="24">
        <v>34.891936568595597</v>
      </c>
      <c r="K87" s="24">
        <v>33.852429807007503</v>
      </c>
      <c r="L87" s="24">
        <v>32.820682963594201</v>
      </c>
      <c r="M87" s="24">
        <v>31.307262691998002</v>
      </c>
      <c r="N87" s="24">
        <v>29.153409649794</v>
      </c>
      <c r="O87" s="24">
        <v>28.8736213700505</v>
      </c>
      <c r="P87" s="24">
        <v>27.9763316892513</v>
      </c>
      <c r="Q87" s="24">
        <v>19.387883227275399</v>
      </c>
      <c r="R87" s="25">
        <v>4.7919146750036301</v>
      </c>
    </row>
    <row r="88" spans="1:18" x14ac:dyDescent="0.3">
      <c r="A88" s="18">
        <v>11.50501672</v>
      </c>
      <c r="B88" s="23">
        <v>129.84415140196199</v>
      </c>
      <c r="C88" s="24">
        <v>66.972212969147805</v>
      </c>
      <c r="D88" s="24">
        <v>54.983034607661502</v>
      </c>
      <c r="E88" s="24">
        <v>45.524310142614098</v>
      </c>
      <c r="F88" s="24">
        <v>43.210810908519697</v>
      </c>
      <c r="G88" s="24">
        <v>41.995732432105903</v>
      </c>
      <c r="H88" s="24">
        <v>40.383226383445503</v>
      </c>
      <c r="I88" s="24">
        <v>36.976452537808598</v>
      </c>
      <c r="J88" s="24">
        <v>35.231545939939402</v>
      </c>
      <c r="K88" s="24">
        <v>34.125033216437302</v>
      </c>
      <c r="L88" s="24">
        <v>33.0269307630602</v>
      </c>
      <c r="M88" s="24">
        <v>31.406786253084</v>
      </c>
      <c r="N88" s="24">
        <v>29.211872351678299</v>
      </c>
      <c r="O88" s="24">
        <v>28.9352865627766</v>
      </c>
      <c r="P88" s="24">
        <v>27.9894471208843</v>
      </c>
      <c r="Q88" s="24">
        <v>19.437149854280701</v>
      </c>
      <c r="R88" s="25">
        <v>4.8247623770625001</v>
      </c>
    </row>
    <row r="89" spans="1:18" x14ac:dyDescent="0.3">
      <c r="A89" s="18">
        <v>11.63879599</v>
      </c>
      <c r="B89" s="23">
        <v>129.857537813612</v>
      </c>
      <c r="C89" s="24">
        <v>66.991915678085803</v>
      </c>
      <c r="D89" s="24">
        <v>55.036631986860201</v>
      </c>
      <c r="E89" s="24">
        <v>45.530478632640801</v>
      </c>
      <c r="F89" s="24">
        <v>43.294395919072798</v>
      </c>
      <c r="G89" s="24">
        <v>42.136518855721299</v>
      </c>
      <c r="H89" s="24">
        <v>40.599616225133801</v>
      </c>
      <c r="I89" s="24">
        <v>37.327186869589802</v>
      </c>
      <c r="J89" s="24">
        <v>35.5711553112831</v>
      </c>
      <c r="K89" s="24">
        <v>34.397636625867001</v>
      </c>
      <c r="L89" s="24">
        <v>33.233178562526199</v>
      </c>
      <c r="M89" s="24">
        <v>31.506309814169999</v>
      </c>
      <c r="N89" s="24">
        <v>29.270335053562601</v>
      </c>
      <c r="O89" s="24">
        <v>28.9969517555027</v>
      </c>
      <c r="P89" s="24">
        <v>28.002562552517301</v>
      </c>
      <c r="Q89" s="24">
        <v>19.4864164812859</v>
      </c>
      <c r="R89" s="25">
        <v>4.8576100791213603</v>
      </c>
    </row>
    <row r="90" spans="1:18" x14ac:dyDescent="0.3">
      <c r="A90" s="18">
        <v>11.772575249999999</v>
      </c>
      <c r="B90" s="23">
        <v>129.870924225263</v>
      </c>
      <c r="C90" s="24">
        <v>67.011618387023802</v>
      </c>
      <c r="D90" s="24">
        <v>55.090229366058999</v>
      </c>
      <c r="E90" s="24">
        <v>45.536647122667397</v>
      </c>
      <c r="F90" s="24">
        <v>43.377980929625799</v>
      </c>
      <c r="G90" s="24">
        <v>42.277305279336701</v>
      </c>
      <c r="H90" s="24">
        <v>40.816006066821998</v>
      </c>
      <c r="I90" s="24">
        <v>37.6779212013709</v>
      </c>
      <c r="J90" s="24">
        <v>35.910764682626798</v>
      </c>
      <c r="K90" s="24">
        <v>34.6702400352968</v>
      </c>
      <c r="L90" s="24">
        <v>33.439426361992197</v>
      </c>
      <c r="M90" s="24">
        <v>31.6058333752561</v>
      </c>
      <c r="N90" s="24">
        <v>29.3287977554468</v>
      </c>
      <c r="O90" s="24">
        <v>29.058616948228799</v>
      </c>
      <c r="P90" s="24">
        <v>28.015677984150201</v>
      </c>
      <c r="Q90" s="24">
        <v>19.535683108291199</v>
      </c>
      <c r="R90" s="25">
        <v>4.8904577811802303</v>
      </c>
    </row>
    <row r="91" spans="1:18" x14ac:dyDescent="0.3">
      <c r="A91" s="18">
        <v>11.906354520000001</v>
      </c>
      <c r="B91" s="23">
        <v>129.884310636913</v>
      </c>
      <c r="C91" s="24">
        <v>67.0313210959618</v>
      </c>
      <c r="D91" s="24">
        <v>55.143826745257698</v>
      </c>
      <c r="E91" s="24">
        <v>45.542815612694099</v>
      </c>
      <c r="F91" s="24">
        <v>43.461565940178801</v>
      </c>
      <c r="G91" s="24">
        <v>42.418091702952097</v>
      </c>
      <c r="H91" s="24">
        <v>41.032395908510303</v>
      </c>
      <c r="I91" s="24">
        <v>38.028655533152097</v>
      </c>
      <c r="J91" s="24">
        <v>36.250374053970503</v>
      </c>
      <c r="K91" s="24">
        <v>34.942843444726599</v>
      </c>
      <c r="L91" s="24">
        <v>33.645674161458203</v>
      </c>
      <c r="M91" s="24">
        <v>31.705356936342099</v>
      </c>
      <c r="N91" s="24">
        <v>29.387260457331099</v>
      </c>
      <c r="O91" s="24">
        <v>29.120282140954899</v>
      </c>
      <c r="P91" s="24">
        <v>28.028793415783198</v>
      </c>
      <c r="Q91" s="24">
        <v>19.584949735296501</v>
      </c>
      <c r="R91" s="25">
        <v>4.9233054832391003</v>
      </c>
    </row>
    <row r="92" spans="1:18" x14ac:dyDescent="0.3">
      <c r="A92" s="18">
        <v>12.04013378</v>
      </c>
      <c r="B92" s="23">
        <v>129.897697048563</v>
      </c>
      <c r="C92" s="24">
        <v>67.051023804899899</v>
      </c>
      <c r="D92" s="24">
        <v>55.197424124456397</v>
      </c>
      <c r="E92" s="24">
        <v>45.548984102720702</v>
      </c>
      <c r="F92" s="24">
        <v>43.545150950731902</v>
      </c>
      <c r="G92" s="24">
        <v>42.5588781265675</v>
      </c>
      <c r="H92" s="24">
        <v>41.2487857501985</v>
      </c>
      <c r="I92" s="24">
        <v>38.379389864933302</v>
      </c>
      <c r="J92" s="24">
        <v>36.589983425314202</v>
      </c>
      <c r="K92" s="24">
        <v>35.215446854156397</v>
      </c>
      <c r="L92" s="24">
        <v>33.851921960924201</v>
      </c>
      <c r="M92" s="24">
        <v>31.804880497428101</v>
      </c>
      <c r="N92" s="24">
        <v>29.445723159215401</v>
      </c>
      <c r="O92" s="24">
        <v>29.181947333680998</v>
      </c>
      <c r="P92" s="24">
        <v>28.041908847416199</v>
      </c>
      <c r="Q92" s="24">
        <v>19.6342163623018</v>
      </c>
      <c r="R92" s="25">
        <v>4.9561531852979597</v>
      </c>
    </row>
    <row r="93" spans="1:18" x14ac:dyDescent="0.3">
      <c r="A93" s="18">
        <v>12.17391304</v>
      </c>
      <c r="B93" s="23">
        <v>129.91108346021301</v>
      </c>
      <c r="C93" s="24">
        <v>67.070726513837897</v>
      </c>
      <c r="D93" s="24">
        <v>55.251021503655103</v>
      </c>
      <c r="E93" s="24">
        <v>45.555152592747397</v>
      </c>
      <c r="F93" s="24">
        <v>43.628735961284903</v>
      </c>
      <c r="G93" s="24">
        <v>42.699664550182902</v>
      </c>
      <c r="H93" s="24">
        <v>41.465175591886698</v>
      </c>
      <c r="I93" s="24">
        <v>38.730124196714499</v>
      </c>
      <c r="J93" s="24">
        <v>36.9295927966579</v>
      </c>
      <c r="K93" s="24">
        <v>35.488050263586203</v>
      </c>
      <c r="L93" s="24">
        <v>34.0581697603902</v>
      </c>
      <c r="M93" s="24">
        <v>31.9044040585141</v>
      </c>
      <c r="N93" s="24">
        <v>29.5041858610997</v>
      </c>
      <c r="O93" s="24">
        <v>29.243612526406999</v>
      </c>
      <c r="P93" s="24">
        <v>28.055024279049199</v>
      </c>
      <c r="Q93" s="24">
        <v>19.683482989306999</v>
      </c>
      <c r="R93" s="25">
        <v>4.9890008873568297</v>
      </c>
    </row>
    <row r="94" spans="1:18" x14ac:dyDescent="0.3">
      <c r="A94" s="18">
        <v>12.30769231</v>
      </c>
      <c r="B94" s="23">
        <v>129.92446987186301</v>
      </c>
      <c r="C94" s="24">
        <v>67.090429222775896</v>
      </c>
      <c r="D94" s="24">
        <v>55.304618882853902</v>
      </c>
      <c r="E94" s="24">
        <v>45.561321082774001</v>
      </c>
      <c r="F94" s="24">
        <v>43.712320971837897</v>
      </c>
      <c r="G94" s="24">
        <v>42.840450973798397</v>
      </c>
      <c r="H94" s="24">
        <v>41.681565433575003</v>
      </c>
      <c r="I94" s="24">
        <v>39.080858528495597</v>
      </c>
      <c r="J94" s="24">
        <v>37.269202168001598</v>
      </c>
      <c r="K94" s="24">
        <v>35.760653673015902</v>
      </c>
      <c r="L94" s="24">
        <v>34.264417559856099</v>
      </c>
      <c r="M94" s="24">
        <v>32.003927619600198</v>
      </c>
      <c r="N94" s="24">
        <v>29.562648562983998</v>
      </c>
      <c r="O94" s="24">
        <v>29.305277719133102</v>
      </c>
      <c r="P94" s="24">
        <v>28.0681397106822</v>
      </c>
      <c r="Q94" s="24">
        <v>19.732749616312301</v>
      </c>
      <c r="R94" s="25">
        <v>5.0218485894156899</v>
      </c>
    </row>
    <row r="95" spans="1:18" x14ac:dyDescent="0.3">
      <c r="A95" s="18">
        <v>12.441471569999999</v>
      </c>
      <c r="B95" s="23">
        <v>129.93785628351301</v>
      </c>
      <c r="C95" s="24">
        <v>67.110131931713894</v>
      </c>
      <c r="D95" s="24">
        <v>55.358216262052601</v>
      </c>
      <c r="E95" s="24">
        <v>45.567489572800604</v>
      </c>
      <c r="F95" s="24">
        <v>43.795905982390998</v>
      </c>
      <c r="G95" s="24">
        <v>42.9812373974138</v>
      </c>
      <c r="H95" s="24">
        <v>41.8979552752632</v>
      </c>
      <c r="I95" s="24">
        <v>39.431592860276801</v>
      </c>
      <c r="J95" s="24">
        <v>37.608811539345297</v>
      </c>
      <c r="K95" s="24">
        <v>36.033257082445701</v>
      </c>
      <c r="L95" s="24">
        <v>34.470665359322098</v>
      </c>
      <c r="M95" s="24">
        <v>32.1034511806862</v>
      </c>
      <c r="N95" s="24">
        <v>29.621111264868301</v>
      </c>
      <c r="O95" s="24">
        <v>29.366942911859201</v>
      </c>
      <c r="P95" s="24">
        <v>28.0812551423152</v>
      </c>
      <c r="Q95" s="24">
        <v>19.782016243317599</v>
      </c>
      <c r="R95" s="25">
        <v>5.0546962914745599</v>
      </c>
    </row>
    <row r="96" spans="1:18" x14ac:dyDescent="0.3">
      <c r="A96" s="18">
        <v>12.575250840000001</v>
      </c>
      <c r="B96" s="23">
        <v>129.95124269516299</v>
      </c>
      <c r="C96" s="24">
        <v>67.129834640651893</v>
      </c>
      <c r="D96" s="24">
        <v>55.4118136412513</v>
      </c>
      <c r="E96" s="24">
        <v>45.573658062827299</v>
      </c>
      <c r="F96" s="24">
        <v>43.879490992944</v>
      </c>
      <c r="G96" s="24">
        <v>43.122023821029202</v>
      </c>
      <c r="H96" s="24">
        <v>42.114345116951398</v>
      </c>
      <c r="I96" s="24">
        <v>39.782327192057998</v>
      </c>
      <c r="J96" s="24">
        <v>37.948420910689002</v>
      </c>
      <c r="K96" s="24">
        <v>36.305860491875499</v>
      </c>
      <c r="L96" s="24">
        <v>34.676913158788103</v>
      </c>
      <c r="M96" s="24">
        <v>32.202974741772202</v>
      </c>
      <c r="N96" s="24">
        <v>29.679573966752599</v>
      </c>
      <c r="O96" s="24">
        <v>29.428608104585301</v>
      </c>
      <c r="P96" s="24">
        <v>28.094370573948201</v>
      </c>
      <c r="Q96" s="24">
        <v>19.831282870322902</v>
      </c>
      <c r="R96" s="25">
        <v>5.0875439935334299</v>
      </c>
    </row>
    <row r="97" spans="1:18" x14ac:dyDescent="0.3">
      <c r="A97" s="18">
        <v>12.7090301</v>
      </c>
      <c r="B97" s="23">
        <v>129.96462910681399</v>
      </c>
      <c r="C97" s="24">
        <v>67.149537349590005</v>
      </c>
      <c r="D97" s="24">
        <v>55.465411020449999</v>
      </c>
      <c r="E97" s="24">
        <v>45.579826552853902</v>
      </c>
      <c r="F97" s="24">
        <v>43.963076003497001</v>
      </c>
      <c r="G97" s="24">
        <v>43.262810244644598</v>
      </c>
      <c r="H97" s="24">
        <v>42.330734958639702</v>
      </c>
      <c r="I97" s="24">
        <v>40.133061523839203</v>
      </c>
      <c r="J97" s="24">
        <v>38.2880302820327</v>
      </c>
      <c r="K97" s="24">
        <v>36.578463901305298</v>
      </c>
      <c r="L97" s="24">
        <v>34.883160958254102</v>
      </c>
      <c r="M97" s="24">
        <v>32.302498302858297</v>
      </c>
      <c r="N97" s="24">
        <v>29.738036668636902</v>
      </c>
      <c r="O97" s="24">
        <v>29.490273297311401</v>
      </c>
      <c r="P97" s="24">
        <v>28.107486005581201</v>
      </c>
      <c r="Q97" s="24">
        <v>19.880549497328101</v>
      </c>
      <c r="R97" s="25">
        <v>5.1203916955922901</v>
      </c>
    </row>
    <row r="98" spans="1:18" x14ac:dyDescent="0.3">
      <c r="A98" s="18">
        <v>12.84280936</v>
      </c>
      <c r="B98" s="23">
        <v>129.97801551846399</v>
      </c>
      <c r="C98" s="24">
        <v>67.169240058528004</v>
      </c>
      <c r="D98" s="24">
        <v>55.519008399648797</v>
      </c>
      <c r="E98" s="24">
        <v>45.585995042880597</v>
      </c>
      <c r="F98" s="24">
        <v>44.046661014050102</v>
      </c>
      <c r="G98" s="24">
        <v>43.403596668260001</v>
      </c>
      <c r="H98" s="24">
        <v>42.5471248003279</v>
      </c>
      <c r="I98" s="24">
        <v>40.4837958556204</v>
      </c>
      <c r="J98" s="24">
        <v>38.627639653376399</v>
      </c>
      <c r="K98" s="24">
        <v>36.851067310735097</v>
      </c>
      <c r="L98" s="24">
        <v>35.089408757720101</v>
      </c>
      <c r="M98" s="24">
        <v>32.402021863944299</v>
      </c>
      <c r="N98" s="24">
        <v>29.7964993705212</v>
      </c>
      <c r="O98" s="24">
        <v>29.5519384900375</v>
      </c>
      <c r="P98" s="24">
        <v>28.120601437214201</v>
      </c>
      <c r="Q98" s="24">
        <v>19.929816124333399</v>
      </c>
      <c r="R98" s="25">
        <v>5.1532393976511601</v>
      </c>
    </row>
    <row r="99" spans="1:18" x14ac:dyDescent="0.3">
      <c r="A99" s="18">
        <v>12.97658863</v>
      </c>
      <c r="B99" s="23">
        <v>129.99140193011399</v>
      </c>
      <c r="C99" s="24">
        <v>67.188942767466003</v>
      </c>
      <c r="D99" s="24">
        <v>55.572605778847503</v>
      </c>
      <c r="E99" s="24">
        <v>45.5921635329072</v>
      </c>
      <c r="F99" s="24">
        <v>44.130246024603103</v>
      </c>
      <c r="G99" s="24">
        <v>43.544383091875403</v>
      </c>
      <c r="H99" s="24">
        <v>42.763514642016098</v>
      </c>
      <c r="I99" s="24">
        <v>40.834530187401597</v>
      </c>
      <c r="J99" s="24">
        <v>38.967249024720097</v>
      </c>
      <c r="K99" s="24">
        <v>37.123670720164803</v>
      </c>
      <c r="L99" s="24">
        <v>35.295656557186099</v>
      </c>
      <c r="M99" s="24">
        <v>32.501545425030301</v>
      </c>
      <c r="N99" s="24">
        <v>29.854962072405499</v>
      </c>
      <c r="O99" s="24">
        <v>29.6136036827636</v>
      </c>
      <c r="P99" s="24">
        <v>28.133716868847198</v>
      </c>
      <c r="Q99" s="24">
        <v>19.979082751338701</v>
      </c>
      <c r="R99" s="25">
        <v>5.1860870997100301</v>
      </c>
    </row>
    <row r="100" spans="1:18" x14ac:dyDescent="0.3">
      <c r="A100" s="18">
        <v>13.110367889999999</v>
      </c>
      <c r="B100" s="23">
        <v>130.07127172798999</v>
      </c>
      <c r="C100" s="24">
        <v>67.429064481623499</v>
      </c>
      <c r="D100" s="24">
        <v>55.9508620982241</v>
      </c>
      <c r="E100" s="24">
        <v>45.9207262652778</v>
      </c>
      <c r="F100" s="24">
        <v>44.384935234156401</v>
      </c>
      <c r="G100" s="24">
        <v>43.801053529572499</v>
      </c>
      <c r="H100" s="24">
        <v>43.035287800648497</v>
      </c>
      <c r="I100" s="24">
        <v>41.120873478338403</v>
      </c>
      <c r="J100" s="24">
        <v>39.208167077230797</v>
      </c>
      <c r="K100" s="24">
        <v>37.295951490688999</v>
      </c>
      <c r="L100" s="24">
        <v>35.402699526667199</v>
      </c>
      <c r="M100" s="24">
        <v>32.555621117717003</v>
      </c>
      <c r="N100" s="24">
        <v>29.901409037835801</v>
      </c>
      <c r="O100" s="24">
        <v>29.642922635142199</v>
      </c>
      <c r="P100" s="24">
        <v>28.1541803336344</v>
      </c>
      <c r="Q100" s="24">
        <v>20.033078078614398</v>
      </c>
      <c r="R100" s="25">
        <v>5.2291787826429097</v>
      </c>
    </row>
    <row r="101" spans="1:18" x14ac:dyDescent="0.3">
      <c r="A101" s="18">
        <v>13.244147160000001</v>
      </c>
      <c r="B101" s="23">
        <v>130.200114092566</v>
      </c>
      <c r="C101" s="24">
        <v>67.831549833489603</v>
      </c>
      <c r="D101" s="24">
        <v>56.568266609425002</v>
      </c>
      <c r="E101" s="24">
        <v>46.486768982240299</v>
      </c>
      <c r="F101" s="24">
        <v>44.765662124304697</v>
      </c>
      <c r="G101" s="24">
        <v>44.143085708467197</v>
      </c>
      <c r="H101" s="24">
        <v>43.347857063947302</v>
      </c>
      <c r="I101" s="24">
        <v>41.3597854526475</v>
      </c>
      <c r="J101" s="24">
        <v>39.376387761744297</v>
      </c>
      <c r="K101" s="24">
        <v>37.394333240659002</v>
      </c>
      <c r="L101" s="24">
        <v>35.436666868851397</v>
      </c>
      <c r="M101" s="24">
        <v>32.576219292291697</v>
      </c>
      <c r="N101" s="24">
        <v>29.939005048338402</v>
      </c>
      <c r="O101" s="24">
        <v>29.6484149068596</v>
      </c>
      <c r="P101" s="24">
        <v>28.1800564596019</v>
      </c>
      <c r="Q101" s="24">
        <v>20.0905566308362</v>
      </c>
      <c r="R101" s="25">
        <v>5.2798163212412996</v>
      </c>
    </row>
    <row r="102" spans="1:18" x14ac:dyDescent="0.3">
      <c r="A102" s="18">
        <v>13.37792642</v>
      </c>
      <c r="B102" s="23">
        <v>130.328956457141</v>
      </c>
      <c r="C102" s="24">
        <v>68.234035185355694</v>
      </c>
      <c r="D102" s="24">
        <v>57.185671120625997</v>
      </c>
      <c r="E102" s="24">
        <v>47.052811699202898</v>
      </c>
      <c r="F102" s="24">
        <v>45.146389014453</v>
      </c>
      <c r="G102" s="24">
        <v>44.485117887361902</v>
      </c>
      <c r="H102" s="24">
        <v>43.660426327246199</v>
      </c>
      <c r="I102" s="24">
        <v>41.598697426956697</v>
      </c>
      <c r="J102" s="24">
        <v>39.544608446257897</v>
      </c>
      <c r="K102" s="24">
        <v>37.492714990628997</v>
      </c>
      <c r="L102" s="24">
        <v>35.470634211035502</v>
      </c>
      <c r="M102" s="24">
        <v>32.596817466866497</v>
      </c>
      <c r="N102" s="24">
        <v>29.976601058840998</v>
      </c>
      <c r="O102" s="24">
        <v>29.653907178576901</v>
      </c>
      <c r="P102" s="24">
        <v>28.2059325855693</v>
      </c>
      <c r="Q102" s="24">
        <v>20.1480351830579</v>
      </c>
      <c r="R102" s="25">
        <v>5.3304538598397002</v>
      </c>
    </row>
    <row r="103" spans="1:18" x14ac:dyDescent="0.3">
      <c r="A103" s="18">
        <v>13.511705689999999</v>
      </c>
      <c r="B103" s="23">
        <v>130.45779882171601</v>
      </c>
      <c r="C103" s="24">
        <v>68.636520537221898</v>
      </c>
      <c r="D103" s="24">
        <v>57.8030756318269</v>
      </c>
      <c r="E103" s="24">
        <v>47.618854416165398</v>
      </c>
      <c r="F103" s="24">
        <v>45.527115904601303</v>
      </c>
      <c r="G103" s="24">
        <v>44.8271500662566</v>
      </c>
      <c r="H103" s="24">
        <v>43.972995590544997</v>
      </c>
      <c r="I103" s="24">
        <v>41.837609401265802</v>
      </c>
      <c r="J103" s="24">
        <v>39.712829130771397</v>
      </c>
      <c r="K103" s="24">
        <v>37.591096740598999</v>
      </c>
      <c r="L103" s="24">
        <v>35.504601553219601</v>
      </c>
      <c r="M103" s="24">
        <v>32.617415641441298</v>
      </c>
      <c r="N103" s="24">
        <v>30.014197069343599</v>
      </c>
      <c r="O103" s="24">
        <v>29.659399450294298</v>
      </c>
      <c r="P103" s="24">
        <v>28.2318087115368</v>
      </c>
      <c r="Q103" s="24">
        <v>20.205513735279599</v>
      </c>
      <c r="R103" s="25">
        <v>5.3810913984380999</v>
      </c>
    </row>
    <row r="104" spans="1:18" x14ac:dyDescent="0.3">
      <c r="A104" s="18">
        <v>13.64548495</v>
      </c>
      <c r="B104" s="23">
        <v>130.58664118629201</v>
      </c>
      <c r="C104" s="24">
        <v>69.039005889088003</v>
      </c>
      <c r="D104" s="24">
        <v>58.420480143027802</v>
      </c>
      <c r="E104" s="24">
        <v>48.184897133127997</v>
      </c>
      <c r="F104" s="24">
        <v>45.907842794749698</v>
      </c>
      <c r="G104" s="24">
        <v>45.169182245151298</v>
      </c>
      <c r="H104" s="24">
        <v>44.285564853843802</v>
      </c>
      <c r="I104" s="24">
        <v>42.076521375574899</v>
      </c>
      <c r="J104" s="24">
        <v>39.881049815285003</v>
      </c>
      <c r="K104" s="24">
        <v>37.689478490569002</v>
      </c>
      <c r="L104" s="24">
        <v>35.538568895403699</v>
      </c>
      <c r="M104" s="24">
        <v>32.638013816016098</v>
      </c>
      <c r="N104" s="24">
        <v>30.051793079846199</v>
      </c>
      <c r="O104" s="24">
        <v>29.664891722011699</v>
      </c>
      <c r="P104" s="24">
        <v>28.2576848375042</v>
      </c>
      <c r="Q104" s="24">
        <v>20.262992287501401</v>
      </c>
      <c r="R104" s="25">
        <v>5.4317289370364898</v>
      </c>
    </row>
    <row r="105" spans="1:18" x14ac:dyDescent="0.3">
      <c r="A105" s="18">
        <v>13.779264209999999</v>
      </c>
      <c r="B105" s="23">
        <v>130.71548355086699</v>
      </c>
      <c r="C105" s="24">
        <v>69.441491240954093</v>
      </c>
      <c r="D105" s="24">
        <v>59.037884654228698</v>
      </c>
      <c r="E105" s="24">
        <v>48.750939850090496</v>
      </c>
      <c r="F105" s="24">
        <v>46.288569684898</v>
      </c>
      <c r="G105" s="24">
        <v>45.511214424046003</v>
      </c>
      <c r="H105" s="24">
        <v>44.598134117142699</v>
      </c>
      <c r="I105" s="24">
        <v>42.315433349884103</v>
      </c>
      <c r="J105" s="24">
        <v>40.049270499798503</v>
      </c>
      <c r="K105" s="24">
        <v>37.787860240538997</v>
      </c>
      <c r="L105" s="24">
        <v>35.572536237587798</v>
      </c>
      <c r="M105" s="24">
        <v>32.658611990590799</v>
      </c>
      <c r="N105" s="24">
        <v>30.089389090348799</v>
      </c>
      <c r="O105" s="24">
        <v>29.6703839937291</v>
      </c>
      <c r="P105" s="24">
        <v>28.2835609634717</v>
      </c>
      <c r="Q105" s="24">
        <v>20.3204708397231</v>
      </c>
      <c r="R105" s="25">
        <v>5.4823664756348904</v>
      </c>
    </row>
    <row r="106" spans="1:18" x14ac:dyDescent="0.3">
      <c r="A106" s="18">
        <v>13.913043480000001</v>
      </c>
      <c r="B106" s="23">
        <v>130.84432591544299</v>
      </c>
      <c r="C106" s="24">
        <v>69.843976592820198</v>
      </c>
      <c r="D106" s="24">
        <v>59.6552891654296</v>
      </c>
      <c r="E106" s="24">
        <v>49.316982567053003</v>
      </c>
      <c r="F106" s="24">
        <v>46.669296575046303</v>
      </c>
      <c r="G106" s="24">
        <v>45.8532466029407</v>
      </c>
      <c r="H106" s="24">
        <v>44.910703380441497</v>
      </c>
      <c r="I106" s="24">
        <v>42.5543453241932</v>
      </c>
      <c r="J106" s="24">
        <v>40.217491184312003</v>
      </c>
      <c r="K106" s="24">
        <v>37.886241990508999</v>
      </c>
      <c r="L106" s="24">
        <v>35.606503579771903</v>
      </c>
      <c r="M106" s="24">
        <v>32.6792101651656</v>
      </c>
      <c r="N106" s="24">
        <v>30.1269851008513</v>
      </c>
      <c r="O106" s="24">
        <v>29.675876265446401</v>
      </c>
      <c r="P106" s="24">
        <v>28.3094370894392</v>
      </c>
      <c r="Q106" s="24">
        <v>20.377949391944799</v>
      </c>
      <c r="R106" s="25">
        <v>5.5330040142332901</v>
      </c>
    </row>
    <row r="107" spans="1:18" x14ac:dyDescent="0.3">
      <c r="A107" s="18">
        <v>14.04682274</v>
      </c>
      <c r="B107" s="23">
        <v>130.973168280018</v>
      </c>
      <c r="C107" s="24">
        <v>70.246461944686303</v>
      </c>
      <c r="D107" s="24">
        <v>60.272693676630503</v>
      </c>
      <c r="E107" s="24">
        <v>49.883025284015602</v>
      </c>
      <c r="F107" s="24">
        <v>47.050023465194599</v>
      </c>
      <c r="G107" s="24">
        <v>46.195278781835398</v>
      </c>
      <c r="H107" s="24">
        <v>45.223272643740302</v>
      </c>
      <c r="I107" s="24">
        <v>42.793257298502297</v>
      </c>
      <c r="J107" s="24">
        <v>40.385711868825602</v>
      </c>
      <c r="K107" s="24">
        <v>37.984623740479002</v>
      </c>
      <c r="L107" s="24">
        <v>35.640470921956101</v>
      </c>
      <c r="M107" s="24">
        <v>32.6998083397404</v>
      </c>
      <c r="N107" s="24">
        <v>30.1645811113539</v>
      </c>
      <c r="O107" s="24">
        <v>29.681368537163799</v>
      </c>
      <c r="P107" s="24">
        <v>28.3353132154066</v>
      </c>
      <c r="Q107" s="24">
        <v>20.435427944166602</v>
      </c>
      <c r="R107" s="25">
        <v>5.5836415528316898</v>
      </c>
    </row>
    <row r="108" spans="1:18" x14ac:dyDescent="0.3">
      <c r="A108" s="18">
        <v>14.180602009999999</v>
      </c>
      <c r="B108" s="23">
        <v>131.102010644594</v>
      </c>
      <c r="C108" s="24">
        <v>70.648947296552507</v>
      </c>
      <c r="D108" s="24">
        <v>60.890098187831398</v>
      </c>
      <c r="E108" s="24">
        <v>50.449068000978102</v>
      </c>
      <c r="F108" s="24">
        <v>47.430750355342902</v>
      </c>
      <c r="G108" s="24">
        <v>46.537310960730203</v>
      </c>
      <c r="H108" s="24">
        <v>45.535841907039199</v>
      </c>
      <c r="I108" s="24">
        <v>43.032169272811501</v>
      </c>
      <c r="J108" s="24">
        <v>40.553932553339102</v>
      </c>
      <c r="K108" s="24">
        <v>38.083005490448997</v>
      </c>
      <c r="L108" s="24">
        <v>35.6744382641402</v>
      </c>
      <c r="M108" s="24">
        <v>32.720406514315101</v>
      </c>
      <c r="N108" s="24">
        <v>30.202177121856501</v>
      </c>
      <c r="O108" s="24">
        <v>29.6868608088812</v>
      </c>
      <c r="P108" s="24">
        <v>28.3611893413741</v>
      </c>
      <c r="Q108" s="24">
        <v>20.492906496388301</v>
      </c>
      <c r="R108" s="25">
        <v>5.6342790914300798</v>
      </c>
    </row>
    <row r="109" spans="1:18" x14ac:dyDescent="0.3">
      <c r="A109" s="18">
        <v>14.31438127</v>
      </c>
      <c r="B109" s="23">
        <v>131.23085300916901</v>
      </c>
      <c r="C109" s="24">
        <v>71.051432648418597</v>
      </c>
      <c r="D109" s="24">
        <v>61.507502699032301</v>
      </c>
      <c r="E109" s="24">
        <v>51.015110717940701</v>
      </c>
      <c r="F109" s="24">
        <v>47.811477245491197</v>
      </c>
      <c r="G109" s="24">
        <v>46.879343139624901</v>
      </c>
      <c r="H109" s="24">
        <v>45.848411170337997</v>
      </c>
      <c r="I109" s="24">
        <v>43.271081247120598</v>
      </c>
      <c r="J109" s="24">
        <v>40.722153237852702</v>
      </c>
      <c r="K109" s="24">
        <v>38.181387240418999</v>
      </c>
      <c r="L109" s="24">
        <v>35.708405606324298</v>
      </c>
      <c r="M109" s="24">
        <v>32.741004688889902</v>
      </c>
      <c r="N109" s="24">
        <v>30.239773132359101</v>
      </c>
      <c r="O109" s="24">
        <v>29.6923530805986</v>
      </c>
      <c r="P109" s="24">
        <v>28.3870654673415</v>
      </c>
      <c r="Q109" s="24">
        <v>20.55038504861</v>
      </c>
      <c r="R109" s="25">
        <v>5.6849166300284804</v>
      </c>
    </row>
    <row r="110" spans="1:18" x14ac:dyDescent="0.3">
      <c r="A110" s="18">
        <v>14.44816054</v>
      </c>
      <c r="B110" s="23">
        <v>131.35969537374501</v>
      </c>
      <c r="C110" s="24">
        <v>71.453918000284702</v>
      </c>
      <c r="D110" s="24">
        <v>62.124907210233197</v>
      </c>
      <c r="E110" s="24">
        <v>51.5811534349032</v>
      </c>
      <c r="F110" s="24">
        <v>48.192204135639599</v>
      </c>
      <c r="G110" s="24">
        <v>47.221375318519598</v>
      </c>
      <c r="H110" s="24">
        <v>46.160980433636801</v>
      </c>
      <c r="I110" s="24">
        <v>43.509993221429703</v>
      </c>
      <c r="J110" s="24">
        <v>40.890373922366201</v>
      </c>
      <c r="K110" s="24">
        <v>38.279768990389002</v>
      </c>
      <c r="L110" s="24">
        <v>35.742372948508397</v>
      </c>
      <c r="M110" s="24">
        <v>32.761602863464702</v>
      </c>
      <c r="N110" s="24">
        <v>30.277369142861701</v>
      </c>
      <c r="O110" s="24">
        <v>29.697845352315898</v>
      </c>
      <c r="P110" s="24">
        <v>28.412941593309</v>
      </c>
      <c r="Q110" s="24">
        <v>20.607863600831799</v>
      </c>
      <c r="R110" s="25">
        <v>5.7355541686268801</v>
      </c>
    </row>
    <row r="111" spans="1:18" x14ac:dyDescent="0.3">
      <c r="A111" s="18">
        <v>14.581939800000001</v>
      </c>
      <c r="B111" s="23">
        <v>131.48853773831999</v>
      </c>
      <c r="C111" s="24">
        <v>71.856403352150807</v>
      </c>
      <c r="D111" s="24">
        <v>62.742311721434099</v>
      </c>
      <c r="E111" s="24">
        <v>52.147196151865799</v>
      </c>
      <c r="F111" s="24">
        <v>48.572931025787902</v>
      </c>
      <c r="G111" s="24">
        <v>47.563407497414303</v>
      </c>
      <c r="H111" s="24">
        <v>46.473549696935699</v>
      </c>
      <c r="I111" s="24">
        <v>43.748905195738899</v>
      </c>
      <c r="J111" s="24">
        <v>41.058594606879801</v>
      </c>
      <c r="K111" s="24">
        <v>38.378150740358997</v>
      </c>
      <c r="L111" s="24">
        <v>35.776340290692502</v>
      </c>
      <c r="M111" s="24">
        <v>32.782201038039503</v>
      </c>
      <c r="N111" s="24">
        <v>30.314965153364302</v>
      </c>
      <c r="O111" s="24">
        <v>29.703337624033299</v>
      </c>
      <c r="P111" s="24">
        <v>28.4388177192764</v>
      </c>
      <c r="Q111" s="24">
        <v>20.665342153053501</v>
      </c>
      <c r="R111" s="25">
        <v>5.78619170722527</v>
      </c>
    </row>
    <row r="112" spans="1:18" x14ac:dyDescent="0.3">
      <c r="A112" s="18">
        <v>14.71571906</v>
      </c>
      <c r="B112" s="23">
        <v>131.61738010289599</v>
      </c>
      <c r="C112" s="24">
        <v>72.258888704016996</v>
      </c>
      <c r="D112" s="24">
        <v>63.359716232635002</v>
      </c>
      <c r="E112" s="24">
        <v>52.713238868828299</v>
      </c>
      <c r="F112" s="24">
        <v>48.953657915936198</v>
      </c>
      <c r="G112" s="24">
        <v>47.905439676309001</v>
      </c>
      <c r="H112" s="24">
        <v>46.786118960234496</v>
      </c>
      <c r="I112" s="24">
        <v>43.987817170047997</v>
      </c>
      <c r="J112" s="24">
        <v>41.226815291393301</v>
      </c>
      <c r="K112" s="24">
        <v>38.476532490328999</v>
      </c>
      <c r="L112" s="24">
        <v>35.810307632876601</v>
      </c>
      <c r="M112" s="24">
        <v>32.802799212614197</v>
      </c>
      <c r="N112" s="24">
        <v>30.352561163866799</v>
      </c>
      <c r="O112" s="24">
        <v>29.7088298957507</v>
      </c>
      <c r="P112" s="24">
        <v>28.4646938452439</v>
      </c>
      <c r="Q112" s="24">
        <v>20.7228207052752</v>
      </c>
      <c r="R112" s="25">
        <v>5.8368292458236697</v>
      </c>
    </row>
    <row r="113" spans="1:18" x14ac:dyDescent="0.3">
      <c r="A113" s="18">
        <v>14.849498329999999</v>
      </c>
      <c r="B113" s="23">
        <v>131.746222467471</v>
      </c>
      <c r="C113" s="24">
        <v>72.661374055883101</v>
      </c>
      <c r="D113" s="24">
        <v>63.977120743835897</v>
      </c>
      <c r="E113" s="24">
        <v>53.279281585790898</v>
      </c>
      <c r="F113" s="24">
        <v>49.3343848060845</v>
      </c>
      <c r="G113" s="24">
        <v>48.247471855203699</v>
      </c>
      <c r="H113" s="24">
        <v>47.098688223533401</v>
      </c>
      <c r="I113" s="24">
        <v>44.226729144357101</v>
      </c>
      <c r="J113" s="24">
        <v>41.3950359759069</v>
      </c>
      <c r="K113" s="24">
        <v>38.574914240299002</v>
      </c>
      <c r="L113" s="24">
        <v>35.844274975060799</v>
      </c>
      <c r="M113" s="24">
        <v>32.823397387188997</v>
      </c>
      <c r="N113" s="24">
        <v>30.390157174369399</v>
      </c>
      <c r="O113" s="24">
        <v>29.714322167468101</v>
      </c>
      <c r="P113" s="24">
        <v>28.490569971211301</v>
      </c>
      <c r="Q113" s="24">
        <v>20.780299257496999</v>
      </c>
      <c r="R113" s="25">
        <v>5.8874667844220703</v>
      </c>
    </row>
    <row r="114" spans="1:18" x14ac:dyDescent="0.3">
      <c r="A114" s="18">
        <v>14.98327759</v>
      </c>
      <c r="B114" s="23">
        <v>131.875064832047</v>
      </c>
      <c r="C114" s="24">
        <v>73.063859407749206</v>
      </c>
      <c r="D114" s="24">
        <v>64.5945252550368</v>
      </c>
      <c r="E114" s="24">
        <v>53.845324302753397</v>
      </c>
      <c r="F114" s="24">
        <v>49.715111696232803</v>
      </c>
      <c r="G114" s="24">
        <v>48.589504034098397</v>
      </c>
      <c r="H114" s="24">
        <v>47.411257486832199</v>
      </c>
      <c r="I114" s="24">
        <v>44.465641118666298</v>
      </c>
      <c r="J114" s="24">
        <v>41.5632566604204</v>
      </c>
      <c r="K114" s="24">
        <v>38.673295990268898</v>
      </c>
      <c r="L114" s="24">
        <v>35.878242317244897</v>
      </c>
      <c r="M114" s="24">
        <v>32.843995561763798</v>
      </c>
      <c r="N114" s="24">
        <v>30.427753184872</v>
      </c>
      <c r="O114" s="24">
        <v>29.719814439185399</v>
      </c>
      <c r="P114" s="24">
        <v>28.5164460971788</v>
      </c>
      <c r="Q114" s="24">
        <v>20.837777809718698</v>
      </c>
      <c r="R114" s="25">
        <v>5.9381043230204602</v>
      </c>
    </row>
    <row r="115" spans="1:18" x14ac:dyDescent="0.3">
      <c r="A115" s="18">
        <v>15.11705686</v>
      </c>
      <c r="B115" s="23">
        <v>132.00390719662201</v>
      </c>
      <c r="C115" s="24">
        <v>73.466344759615296</v>
      </c>
      <c r="D115" s="24">
        <v>65.211929766237702</v>
      </c>
      <c r="E115" s="24">
        <v>54.411367019716003</v>
      </c>
      <c r="F115" s="24">
        <v>50.095838586381099</v>
      </c>
      <c r="G115" s="24">
        <v>48.931536212993102</v>
      </c>
      <c r="H115" s="24">
        <v>47.723826750131003</v>
      </c>
      <c r="I115" s="24">
        <v>44.704553092975402</v>
      </c>
      <c r="J115" s="24">
        <v>41.731477344934</v>
      </c>
      <c r="K115" s="24">
        <v>38.7716777402389</v>
      </c>
      <c r="L115" s="24">
        <v>35.912209659429003</v>
      </c>
      <c r="M115" s="24">
        <v>32.864593736338598</v>
      </c>
      <c r="N115" s="24">
        <v>30.4653491953746</v>
      </c>
      <c r="O115" s="24">
        <v>29.7253067109028</v>
      </c>
      <c r="P115" s="24">
        <v>28.542322223146201</v>
      </c>
      <c r="Q115" s="24">
        <v>20.895256361940501</v>
      </c>
      <c r="R115" s="25">
        <v>5.9887418616188599</v>
      </c>
    </row>
    <row r="116" spans="1:18" x14ac:dyDescent="0.3">
      <c r="A116" s="18">
        <v>15.250836120000001</v>
      </c>
      <c r="B116" s="23">
        <v>132.13274956119801</v>
      </c>
      <c r="C116" s="24">
        <v>73.8688301114815</v>
      </c>
      <c r="D116" s="24">
        <v>65.829334277438605</v>
      </c>
      <c r="E116" s="24">
        <v>54.977409736678503</v>
      </c>
      <c r="F116" s="24">
        <v>50.476565476529501</v>
      </c>
      <c r="G116" s="24">
        <v>49.2735683918878</v>
      </c>
      <c r="H116" s="24">
        <v>48.036396013429901</v>
      </c>
      <c r="I116" s="24">
        <v>44.9434650672845</v>
      </c>
      <c r="J116" s="24">
        <v>41.899698029447499</v>
      </c>
      <c r="K116" s="24">
        <v>38.870059490208902</v>
      </c>
      <c r="L116" s="24">
        <v>35.946177001613101</v>
      </c>
      <c r="M116" s="24">
        <v>32.885191910913299</v>
      </c>
      <c r="N116" s="24">
        <v>30.5029452058772</v>
      </c>
      <c r="O116" s="24">
        <v>29.7307989826202</v>
      </c>
      <c r="P116" s="24">
        <v>28.5681983491137</v>
      </c>
      <c r="Q116" s="24">
        <v>20.9527349141622</v>
      </c>
      <c r="R116" s="25">
        <v>6.0393794002172596</v>
      </c>
    </row>
    <row r="117" spans="1:18" x14ac:dyDescent="0.3">
      <c r="A117" s="18">
        <v>15.38461538</v>
      </c>
      <c r="B117" s="23">
        <v>132.26159192577299</v>
      </c>
      <c r="C117" s="24">
        <v>74.271315463347605</v>
      </c>
      <c r="D117" s="24">
        <v>66.446738788639607</v>
      </c>
      <c r="E117" s="24">
        <v>55.543452453641102</v>
      </c>
      <c r="F117" s="24">
        <v>50.857292366677797</v>
      </c>
      <c r="G117" s="24">
        <v>49.615600570782497</v>
      </c>
      <c r="H117" s="24">
        <v>48.348965276728698</v>
      </c>
      <c r="I117" s="24">
        <v>45.182377041593703</v>
      </c>
      <c r="J117" s="24">
        <v>42.067918713960999</v>
      </c>
      <c r="K117" s="24">
        <v>38.968441240178898</v>
      </c>
      <c r="L117" s="24">
        <v>35.9801443437972</v>
      </c>
      <c r="M117" s="24">
        <v>32.9057900854881</v>
      </c>
      <c r="N117" s="24">
        <v>30.5405412163798</v>
      </c>
      <c r="O117" s="24">
        <v>29.736291254337601</v>
      </c>
      <c r="P117" s="24">
        <v>28.594074475081101</v>
      </c>
      <c r="Q117" s="24">
        <v>21.010213466383899</v>
      </c>
      <c r="R117" s="25">
        <v>6.0900169388156602</v>
      </c>
    </row>
    <row r="118" spans="1:18" x14ac:dyDescent="0.3">
      <c r="A118" s="18">
        <v>15.518394649999999</v>
      </c>
      <c r="B118" s="23">
        <v>132.39043429034899</v>
      </c>
      <c r="C118" s="24">
        <v>74.673800815213696</v>
      </c>
      <c r="D118" s="24">
        <v>67.064143299840495</v>
      </c>
      <c r="E118" s="24">
        <v>56.109495170603601</v>
      </c>
      <c r="F118" s="24">
        <v>51.238019256826099</v>
      </c>
      <c r="G118" s="24">
        <v>49.957632749677202</v>
      </c>
      <c r="H118" s="24">
        <v>48.661534540027503</v>
      </c>
      <c r="I118" s="24">
        <v>45.421289015902801</v>
      </c>
      <c r="J118" s="24">
        <v>42.236139398474599</v>
      </c>
      <c r="K118" s="24">
        <v>39.0668229901489</v>
      </c>
      <c r="L118" s="24">
        <v>36.014111685981298</v>
      </c>
      <c r="M118" s="24">
        <v>32.9263882600629</v>
      </c>
      <c r="N118" s="24">
        <v>30.578137226882301</v>
      </c>
      <c r="O118" s="24">
        <v>29.741783526054899</v>
      </c>
      <c r="P118" s="24">
        <v>28.6199506010486</v>
      </c>
      <c r="Q118" s="24">
        <v>21.067692018605701</v>
      </c>
      <c r="R118" s="25">
        <v>6.1406544774140501</v>
      </c>
    </row>
    <row r="119" spans="1:18" x14ac:dyDescent="0.3">
      <c r="A119" s="18">
        <v>15.65217391</v>
      </c>
      <c r="B119" s="23">
        <v>132.519276654924</v>
      </c>
      <c r="C119" s="24">
        <v>75.0762861670798</v>
      </c>
      <c r="D119" s="24">
        <v>67.681547811041398</v>
      </c>
      <c r="E119" s="24">
        <v>56.675537887566101</v>
      </c>
      <c r="F119" s="24">
        <v>51.618746146974402</v>
      </c>
      <c r="G119" s="24">
        <v>50.2996649285719</v>
      </c>
      <c r="H119" s="24">
        <v>48.9741038033264</v>
      </c>
      <c r="I119" s="24">
        <v>45.660200990211898</v>
      </c>
      <c r="J119" s="24">
        <v>42.404360082988099</v>
      </c>
      <c r="K119" s="24">
        <v>39.165204740118902</v>
      </c>
      <c r="L119" s="24">
        <v>36.048079028165503</v>
      </c>
      <c r="M119" s="24">
        <v>32.946986434637701</v>
      </c>
      <c r="N119" s="24">
        <v>30.615733237384902</v>
      </c>
      <c r="O119" s="24">
        <v>29.7472757977723</v>
      </c>
      <c r="P119" s="24">
        <v>28.645826727016001</v>
      </c>
      <c r="Q119" s="24">
        <v>21.1251705708274</v>
      </c>
      <c r="R119" s="25">
        <v>6.1912920160124498</v>
      </c>
    </row>
    <row r="120" spans="1:18" x14ac:dyDescent="0.3">
      <c r="A120" s="18">
        <v>15.78595318</v>
      </c>
      <c r="B120" s="23">
        <v>132.6481190195</v>
      </c>
      <c r="C120" s="24">
        <v>75.478771518946004</v>
      </c>
      <c r="D120" s="24">
        <v>68.2989523222423</v>
      </c>
      <c r="E120" s="24">
        <v>57.2415806045287</v>
      </c>
      <c r="F120" s="24">
        <v>51.999473037122698</v>
      </c>
      <c r="G120" s="24">
        <v>50.641697107466698</v>
      </c>
      <c r="H120" s="24">
        <v>49.286673066625198</v>
      </c>
      <c r="I120" s="24">
        <v>45.899112964521102</v>
      </c>
      <c r="J120" s="24">
        <v>42.572580767501698</v>
      </c>
      <c r="K120" s="24">
        <v>39.263586490088898</v>
      </c>
      <c r="L120" s="24">
        <v>36.082046370349602</v>
      </c>
      <c r="M120" s="24">
        <v>32.967584609212402</v>
      </c>
      <c r="N120" s="24">
        <v>30.653329247887498</v>
      </c>
      <c r="O120" s="24">
        <v>29.752768069489701</v>
      </c>
      <c r="P120" s="24">
        <v>28.671702852983501</v>
      </c>
      <c r="Q120" s="24">
        <v>21.182649123049099</v>
      </c>
      <c r="R120" s="25">
        <v>6.2419295546108504</v>
      </c>
    </row>
    <row r="121" spans="1:18" x14ac:dyDescent="0.3">
      <c r="A121" s="18">
        <v>15.919732440000001</v>
      </c>
      <c r="B121" s="23">
        <v>132.77696138407501</v>
      </c>
      <c r="C121" s="24">
        <v>75.881256870812095</v>
      </c>
      <c r="D121" s="24">
        <v>68.916356833443203</v>
      </c>
      <c r="E121" s="24">
        <v>57.807623321491299</v>
      </c>
      <c r="F121" s="24">
        <v>52.380199927271001</v>
      </c>
      <c r="G121" s="24">
        <v>50.983729286361402</v>
      </c>
      <c r="H121" s="24">
        <v>49.599242329924003</v>
      </c>
      <c r="I121" s="24">
        <v>46.138024938830199</v>
      </c>
      <c r="J121" s="24">
        <v>42.740801452015198</v>
      </c>
      <c r="K121" s="24">
        <v>39.3619682400589</v>
      </c>
      <c r="L121" s="24">
        <v>36.1160137125337</v>
      </c>
      <c r="M121" s="24">
        <v>32.988182783787202</v>
      </c>
      <c r="N121" s="24">
        <v>30.690925258390099</v>
      </c>
      <c r="O121" s="24">
        <v>29.758260341207102</v>
      </c>
      <c r="P121" s="24">
        <v>28.697578978950901</v>
      </c>
      <c r="Q121" s="24">
        <v>21.240127675270902</v>
      </c>
      <c r="R121" s="25">
        <v>6.2925670932092403</v>
      </c>
    </row>
    <row r="122" spans="1:18" x14ac:dyDescent="0.3">
      <c r="A122" s="18">
        <v>16.053511709999999</v>
      </c>
      <c r="B122" s="23">
        <v>132.90580374864999</v>
      </c>
      <c r="C122" s="24">
        <v>76.2837422226782</v>
      </c>
      <c r="D122" s="24">
        <v>69.533761344644105</v>
      </c>
      <c r="E122" s="24">
        <v>58.373666038453798</v>
      </c>
      <c r="F122" s="24">
        <v>52.760926817419403</v>
      </c>
      <c r="G122" s="24">
        <v>51.3257614652561</v>
      </c>
      <c r="H122" s="24">
        <v>49.9118115932229</v>
      </c>
      <c r="I122" s="24">
        <v>46.376936913139303</v>
      </c>
      <c r="J122" s="24">
        <v>42.909022136528797</v>
      </c>
      <c r="K122" s="24">
        <v>39.460349990028902</v>
      </c>
      <c r="L122" s="24">
        <v>36.149981054717799</v>
      </c>
      <c r="M122" s="24">
        <v>33.008780958362003</v>
      </c>
      <c r="N122" s="24">
        <v>30.728521268892699</v>
      </c>
      <c r="O122" s="24">
        <v>29.763752612924399</v>
      </c>
      <c r="P122" s="24">
        <v>28.723455104918401</v>
      </c>
      <c r="Q122" s="24">
        <v>21.297606227492601</v>
      </c>
      <c r="R122" s="25">
        <v>6.34320463180764</v>
      </c>
    </row>
    <row r="123" spans="1:18" x14ac:dyDescent="0.3">
      <c r="A123" s="18">
        <v>16.187290969999999</v>
      </c>
      <c r="B123" s="23">
        <v>133.03464611322599</v>
      </c>
      <c r="C123" s="24">
        <v>76.686227574544304</v>
      </c>
      <c r="D123" s="24">
        <v>70.151165855844994</v>
      </c>
      <c r="E123" s="24">
        <v>58.939708755416298</v>
      </c>
      <c r="F123" s="24">
        <v>53.141653707567698</v>
      </c>
      <c r="G123" s="24">
        <v>51.667793644150798</v>
      </c>
      <c r="H123" s="24">
        <v>50.224380856521698</v>
      </c>
      <c r="I123" s="24">
        <v>46.6158488874485</v>
      </c>
      <c r="J123" s="24">
        <v>43.077242821042297</v>
      </c>
      <c r="K123" s="24">
        <v>39.558731739998898</v>
      </c>
      <c r="L123" s="24">
        <v>36.183948396901897</v>
      </c>
      <c r="M123" s="24">
        <v>33.029379132936803</v>
      </c>
      <c r="N123" s="24">
        <v>30.7661172793952</v>
      </c>
      <c r="O123" s="24">
        <v>29.7692448846418</v>
      </c>
      <c r="P123" s="24">
        <v>28.749331230885801</v>
      </c>
      <c r="Q123" s="24">
        <v>21.3550847797143</v>
      </c>
      <c r="R123" s="25">
        <v>6.3938421704060397</v>
      </c>
    </row>
    <row r="124" spans="1:18" x14ac:dyDescent="0.3">
      <c r="A124" s="18">
        <v>16.32107023</v>
      </c>
      <c r="B124" s="23">
        <v>133.163488477801</v>
      </c>
      <c r="C124" s="24">
        <v>77.088712926410494</v>
      </c>
      <c r="D124" s="24">
        <v>70.768570367045896</v>
      </c>
      <c r="E124" s="24">
        <v>59.505751472378897</v>
      </c>
      <c r="F124" s="24">
        <v>53.522380597716001</v>
      </c>
      <c r="G124" s="24">
        <v>52.009825823045503</v>
      </c>
      <c r="H124" s="24">
        <v>50.536950119820602</v>
      </c>
      <c r="I124" s="24">
        <v>46.854760861757597</v>
      </c>
      <c r="J124" s="24">
        <v>43.245463505555897</v>
      </c>
      <c r="K124" s="24">
        <v>39.6571134899689</v>
      </c>
      <c r="L124" s="24">
        <v>36.217915739086003</v>
      </c>
      <c r="M124" s="24">
        <v>33.049977307511497</v>
      </c>
      <c r="N124" s="24">
        <v>30.8037132898978</v>
      </c>
      <c r="O124" s="24">
        <v>29.774737156359201</v>
      </c>
      <c r="P124" s="24">
        <v>28.775207356853301</v>
      </c>
      <c r="Q124" s="24">
        <v>21.412563331936099</v>
      </c>
      <c r="R124" s="25">
        <v>6.4444797090044297</v>
      </c>
    </row>
    <row r="125" spans="1:18" x14ac:dyDescent="0.3">
      <c r="A125" s="18">
        <v>16.454849500000002</v>
      </c>
      <c r="B125" s="23">
        <v>133.292330842377</v>
      </c>
      <c r="C125" s="24">
        <v>77.491198278276599</v>
      </c>
      <c r="D125" s="24">
        <v>71.385974878246799</v>
      </c>
      <c r="E125" s="24">
        <v>60.071794189341396</v>
      </c>
      <c r="F125" s="24">
        <v>53.903107487864297</v>
      </c>
      <c r="G125" s="24">
        <v>52.351858001940201</v>
      </c>
      <c r="H125" s="24">
        <v>50.8495193831194</v>
      </c>
      <c r="I125" s="24">
        <v>47.093672836066702</v>
      </c>
      <c r="J125" s="24">
        <v>43.413684190069397</v>
      </c>
      <c r="K125" s="24">
        <v>39.755495239938902</v>
      </c>
      <c r="L125" s="24">
        <v>36.251883081270201</v>
      </c>
      <c r="M125" s="24">
        <v>33.070575482086298</v>
      </c>
      <c r="N125" s="24">
        <v>30.8413093004004</v>
      </c>
      <c r="O125" s="24">
        <v>29.780229428076598</v>
      </c>
      <c r="P125" s="24">
        <v>28.801083482820701</v>
      </c>
      <c r="Q125" s="24">
        <v>21.470041884157801</v>
      </c>
      <c r="R125" s="25">
        <v>6.4951172476028303</v>
      </c>
    </row>
    <row r="126" spans="1:18" x14ac:dyDescent="0.3">
      <c r="A126" s="18">
        <v>16.588628759999999</v>
      </c>
      <c r="B126" s="23">
        <v>133.42117320695201</v>
      </c>
      <c r="C126" s="24">
        <v>77.893683630142704</v>
      </c>
      <c r="D126" s="24">
        <v>72.003379389447701</v>
      </c>
      <c r="E126" s="24">
        <v>60.637836906304003</v>
      </c>
      <c r="F126" s="24">
        <v>54.2838343780126</v>
      </c>
      <c r="G126" s="24">
        <v>52.693890180834899</v>
      </c>
      <c r="H126" s="24">
        <v>51.162088646418198</v>
      </c>
      <c r="I126" s="24">
        <v>47.332584810375899</v>
      </c>
      <c r="J126" s="24">
        <v>43.581904874582897</v>
      </c>
      <c r="K126" s="24">
        <v>39.853876989908898</v>
      </c>
      <c r="L126" s="24">
        <v>36.285850423454299</v>
      </c>
      <c r="M126" s="24">
        <v>33.091173656661098</v>
      </c>
      <c r="N126" s="24">
        <v>30.878905310903001</v>
      </c>
      <c r="O126" s="24">
        <v>29.7857216997939</v>
      </c>
      <c r="P126" s="24">
        <v>28.826959608788201</v>
      </c>
      <c r="Q126" s="24">
        <v>21.527520436379501</v>
      </c>
      <c r="R126" s="25">
        <v>6.54575478620123</v>
      </c>
    </row>
    <row r="127" spans="1:18" x14ac:dyDescent="0.3">
      <c r="A127" s="18">
        <v>16.72240803</v>
      </c>
      <c r="B127" s="23">
        <v>133.55001557152801</v>
      </c>
      <c r="C127" s="24">
        <v>78.296168982008794</v>
      </c>
      <c r="D127" s="24">
        <v>72.620783900648604</v>
      </c>
      <c r="E127" s="24">
        <v>61.203879623266502</v>
      </c>
      <c r="F127" s="24">
        <v>54.664561268160902</v>
      </c>
      <c r="G127" s="24">
        <v>53.035922359729597</v>
      </c>
      <c r="H127" s="24">
        <v>51.474657909717102</v>
      </c>
      <c r="I127" s="24">
        <v>47.571496784685003</v>
      </c>
      <c r="J127" s="24">
        <v>43.750125559096503</v>
      </c>
      <c r="K127" s="24">
        <v>39.9522587398789</v>
      </c>
      <c r="L127" s="24">
        <v>36.319817765638398</v>
      </c>
      <c r="M127" s="24">
        <v>33.111771831235899</v>
      </c>
      <c r="N127" s="24">
        <v>30.916501321405601</v>
      </c>
      <c r="O127" s="24">
        <v>29.791213971511301</v>
      </c>
      <c r="P127" s="24">
        <v>28.852835734755601</v>
      </c>
      <c r="Q127" s="24">
        <v>21.584998988601299</v>
      </c>
      <c r="R127" s="25">
        <v>6.5963923247996297</v>
      </c>
    </row>
    <row r="128" spans="1:18" x14ac:dyDescent="0.3">
      <c r="A128" s="18">
        <v>16.856187290000001</v>
      </c>
      <c r="B128" s="23">
        <v>133.67885793610299</v>
      </c>
      <c r="C128" s="24">
        <v>78.698654333874998</v>
      </c>
      <c r="D128" s="24">
        <v>73.238188411849507</v>
      </c>
      <c r="E128" s="24">
        <v>61.769922340229101</v>
      </c>
      <c r="F128" s="24">
        <v>55.045288158309297</v>
      </c>
      <c r="G128" s="24">
        <v>53.377954538624302</v>
      </c>
      <c r="H128" s="24">
        <v>51.7872271730159</v>
      </c>
      <c r="I128" s="24">
        <v>47.8104087589941</v>
      </c>
      <c r="J128" s="24">
        <v>43.918346243610003</v>
      </c>
      <c r="K128" s="24">
        <v>40.050640489848902</v>
      </c>
      <c r="L128" s="24">
        <v>36.353785107822503</v>
      </c>
      <c r="M128" s="24">
        <v>33.1323700058106</v>
      </c>
      <c r="N128" s="24">
        <v>30.954097331908201</v>
      </c>
      <c r="O128" s="24">
        <v>29.796706243228702</v>
      </c>
      <c r="P128" s="24">
        <v>28.878711860723101</v>
      </c>
      <c r="Q128" s="24">
        <v>21.642477540822998</v>
      </c>
      <c r="R128" s="25">
        <v>6.6470298633980196</v>
      </c>
    </row>
    <row r="129" spans="1:18" x14ac:dyDescent="0.3">
      <c r="A129" s="18">
        <v>16.989966559999999</v>
      </c>
      <c r="B129" s="23">
        <v>133.80770030067899</v>
      </c>
      <c r="C129" s="24">
        <v>79.101139685741103</v>
      </c>
      <c r="D129" s="24">
        <v>73.855592923050494</v>
      </c>
      <c r="E129" s="24">
        <v>62.335965057191601</v>
      </c>
      <c r="F129" s="24">
        <v>55.4260150484576</v>
      </c>
      <c r="G129" s="24">
        <v>53.719986717518999</v>
      </c>
      <c r="H129" s="24">
        <v>52.099796436314698</v>
      </c>
      <c r="I129" s="24">
        <v>48.049320733303297</v>
      </c>
      <c r="J129" s="24">
        <v>44.086566928123602</v>
      </c>
      <c r="K129" s="24">
        <v>40.149022239818898</v>
      </c>
      <c r="L129" s="24">
        <v>36.387752450006602</v>
      </c>
      <c r="M129" s="24">
        <v>33.1529681803854</v>
      </c>
      <c r="N129" s="24">
        <v>30.991693342410699</v>
      </c>
      <c r="O129" s="24">
        <v>29.802198514946099</v>
      </c>
      <c r="P129" s="24">
        <v>28.904587986690501</v>
      </c>
      <c r="Q129" s="24">
        <v>21.699956093044701</v>
      </c>
      <c r="R129" s="25">
        <v>6.6976674019964202</v>
      </c>
    </row>
    <row r="130" spans="1:18" x14ac:dyDescent="0.3">
      <c r="A130" s="18">
        <v>17.12374582</v>
      </c>
      <c r="B130" s="23">
        <v>133.936542665254</v>
      </c>
      <c r="C130" s="24">
        <v>79.503625037607193</v>
      </c>
      <c r="D130" s="24">
        <v>74.472997434251397</v>
      </c>
      <c r="E130" s="24">
        <v>62.9020077741542</v>
      </c>
      <c r="F130" s="24">
        <v>55.806741938605903</v>
      </c>
      <c r="G130" s="24">
        <v>54.062018896413697</v>
      </c>
      <c r="H130" s="24">
        <v>52.412365699613602</v>
      </c>
      <c r="I130" s="24">
        <v>48.288232707612401</v>
      </c>
      <c r="J130" s="24">
        <v>44.254787612637102</v>
      </c>
      <c r="K130" s="24">
        <v>40.2474039897889</v>
      </c>
      <c r="L130" s="24">
        <v>36.4217197921907</v>
      </c>
      <c r="M130" s="24">
        <v>33.173566354960201</v>
      </c>
      <c r="N130" s="24">
        <v>31.029289352913299</v>
      </c>
      <c r="O130" s="24">
        <v>29.8076907866634</v>
      </c>
      <c r="P130" s="24">
        <v>28.930464112658001</v>
      </c>
      <c r="Q130" s="24">
        <v>21.7574346452665</v>
      </c>
      <c r="R130" s="25">
        <v>6.7483049405948199</v>
      </c>
    </row>
    <row r="131" spans="1:18" x14ac:dyDescent="0.3">
      <c r="A131" s="18">
        <v>17.257525080000001</v>
      </c>
      <c r="B131" s="23">
        <v>134.06538502983</v>
      </c>
      <c r="C131" s="24">
        <v>79.906110389473298</v>
      </c>
      <c r="D131" s="24">
        <v>75.0904019454523</v>
      </c>
      <c r="E131" s="24">
        <v>63.468050491116699</v>
      </c>
      <c r="F131" s="24">
        <v>56.187468828754199</v>
      </c>
      <c r="G131" s="24">
        <v>54.404051075308402</v>
      </c>
      <c r="H131" s="24">
        <v>52.7249349629124</v>
      </c>
      <c r="I131" s="24">
        <v>48.527144681921499</v>
      </c>
      <c r="J131" s="24">
        <v>44.423008297150702</v>
      </c>
      <c r="K131" s="24">
        <v>40.345785739758902</v>
      </c>
      <c r="L131" s="24">
        <v>36.455687134374898</v>
      </c>
      <c r="M131" s="24">
        <v>33.194164529535001</v>
      </c>
      <c r="N131" s="24">
        <v>31.066885363415899</v>
      </c>
      <c r="O131" s="24">
        <v>29.813183058380801</v>
      </c>
      <c r="P131" s="24">
        <v>28.956340238625401</v>
      </c>
      <c r="Q131" s="24">
        <v>21.814913197488199</v>
      </c>
      <c r="R131" s="25">
        <v>6.7989424791932098</v>
      </c>
    </row>
    <row r="132" spans="1:18" x14ac:dyDescent="0.3">
      <c r="A132" s="18">
        <v>17.391304349999999</v>
      </c>
      <c r="B132" s="23">
        <v>134.194227394405</v>
      </c>
      <c r="C132" s="24">
        <v>80.308595741339502</v>
      </c>
      <c r="D132" s="24">
        <v>75.707806456653202</v>
      </c>
      <c r="E132" s="24">
        <v>64.034093208079298</v>
      </c>
      <c r="F132" s="24">
        <v>56.568195718902501</v>
      </c>
      <c r="G132" s="24">
        <v>54.7460832542031</v>
      </c>
      <c r="H132" s="24">
        <v>53.037504226211297</v>
      </c>
      <c r="I132" s="24">
        <v>48.766056656230703</v>
      </c>
      <c r="J132" s="24">
        <v>44.591228981664202</v>
      </c>
      <c r="K132" s="24">
        <v>40.444167489728898</v>
      </c>
      <c r="L132" s="24">
        <v>36.489654476558997</v>
      </c>
      <c r="M132" s="24">
        <v>33.214762704109702</v>
      </c>
      <c r="N132" s="24">
        <v>31.1044813739185</v>
      </c>
      <c r="O132" s="24">
        <v>29.818675330098198</v>
      </c>
      <c r="P132" s="24">
        <v>28.982216364592901</v>
      </c>
      <c r="Q132" s="24">
        <v>21.872391749709902</v>
      </c>
      <c r="R132" s="25">
        <v>6.8495800177916104</v>
      </c>
    </row>
    <row r="133" spans="1:18" x14ac:dyDescent="0.3">
      <c r="A133" s="18">
        <v>17.525083609999999</v>
      </c>
      <c r="B133" s="23">
        <v>134.32306975898101</v>
      </c>
      <c r="C133" s="24">
        <v>80.711081093205607</v>
      </c>
      <c r="D133" s="24">
        <v>76.325210967854105</v>
      </c>
      <c r="E133" s="24">
        <v>64.600135925041798</v>
      </c>
      <c r="F133" s="24">
        <v>56.948922609050797</v>
      </c>
      <c r="G133" s="24">
        <v>55.088115433097897</v>
      </c>
      <c r="H133" s="24">
        <v>53.350073489510102</v>
      </c>
      <c r="I133" s="24">
        <v>49.0049686305398</v>
      </c>
      <c r="J133" s="24">
        <v>44.759449666177801</v>
      </c>
      <c r="K133" s="24">
        <v>40.542549239698801</v>
      </c>
      <c r="L133" s="24">
        <v>36.523621818743102</v>
      </c>
      <c r="M133" s="24">
        <v>33.235360878684503</v>
      </c>
      <c r="N133" s="24">
        <v>31.1420773844211</v>
      </c>
      <c r="O133" s="24">
        <v>29.8241676018155</v>
      </c>
      <c r="P133" s="24">
        <v>29.008092490560301</v>
      </c>
      <c r="Q133" s="24">
        <v>21.9298703019317</v>
      </c>
      <c r="R133" s="25">
        <v>6.9002175563900101</v>
      </c>
    </row>
    <row r="134" spans="1:18" x14ac:dyDescent="0.3">
      <c r="A134" s="18">
        <v>17.658862880000001</v>
      </c>
      <c r="B134" s="23">
        <v>134.45191212355601</v>
      </c>
      <c r="C134" s="24">
        <v>81.113566445071697</v>
      </c>
      <c r="D134" s="24">
        <v>76.942615479054993</v>
      </c>
      <c r="E134" s="24">
        <v>65.166178642004397</v>
      </c>
      <c r="F134" s="24">
        <v>57.3296494991991</v>
      </c>
      <c r="G134" s="24">
        <v>55.430147611992602</v>
      </c>
      <c r="H134" s="24">
        <v>53.6626427528089</v>
      </c>
      <c r="I134" s="24">
        <v>49.243880604848897</v>
      </c>
      <c r="J134" s="24">
        <v>44.927670350691301</v>
      </c>
      <c r="K134" s="24">
        <v>40.640930989668803</v>
      </c>
      <c r="L134" s="24">
        <v>36.557589160927201</v>
      </c>
      <c r="M134" s="24">
        <v>33.255959053259303</v>
      </c>
      <c r="N134" s="24">
        <v>31.1796733949237</v>
      </c>
      <c r="O134" s="24">
        <v>29.829659873532901</v>
      </c>
      <c r="P134" s="24">
        <v>29.033968616527801</v>
      </c>
      <c r="Q134" s="24">
        <v>21.987348854153399</v>
      </c>
      <c r="R134" s="25">
        <v>6.9508550949884</v>
      </c>
    </row>
    <row r="135" spans="1:18" x14ac:dyDescent="0.3">
      <c r="A135" s="18">
        <v>17.792642140000002</v>
      </c>
      <c r="B135" s="23">
        <v>134.58075448813199</v>
      </c>
      <c r="C135" s="24">
        <v>81.516051796937802</v>
      </c>
      <c r="D135" s="24">
        <v>77.560019990255896</v>
      </c>
      <c r="E135" s="24">
        <v>65.732221358966896</v>
      </c>
      <c r="F135" s="24">
        <v>57.710376389347502</v>
      </c>
      <c r="G135" s="24">
        <v>55.7721797908873</v>
      </c>
      <c r="H135" s="24">
        <v>53.975212016107797</v>
      </c>
      <c r="I135" s="24">
        <v>49.482792579158101</v>
      </c>
      <c r="J135" s="24">
        <v>45.0958910352049</v>
      </c>
      <c r="K135" s="24">
        <v>40.739312739638798</v>
      </c>
      <c r="L135" s="24">
        <v>36.591556503111299</v>
      </c>
      <c r="M135" s="24">
        <v>33.276557227834097</v>
      </c>
      <c r="N135" s="24">
        <v>31.217269405426201</v>
      </c>
      <c r="O135" s="24">
        <v>29.835152145250301</v>
      </c>
      <c r="P135" s="24">
        <v>29.059844742495201</v>
      </c>
      <c r="Q135" s="24">
        <v>22.044827406375099</v>
      </c>
      <c r="R135" s="25">
        <v>7.0014926335867997</v>
      </c>
    </row>
    <row r="136" spans="1:18" x14ac:dyDescent="0.3">
      <c r="A136" s="18">
        <v>17.926421399999999</v>
      </c>
      <c r="B136" s="23">
        <v>134.70959685270699</v>
      </c>
      <c r="C136" s="24">
        <v>81.918537148803907</v>
      </c>
      <c r="D136" s="24">
        <v>78.177424501456798</v>
      </c>
      <c r="E136" s="24">
        <v>66.298264075929495</v>
      </c>
      <c r="F136" s="24">
        <v>58.091103279495798</v>
      </c>
      <c r="G136" s="24">
        <v>56.114211969781998</v>
      </c>
      <c r="H136" s="24">
        <v>54.287781279406602</v>
      </c>
      <c r="I136" s="24">
        <v>49.721704553467198</v>
      </c>
      <c r="J136" s="24">
        <v>45.2641117197184</v>
      </c>
      <c r="K136" s="24">
        <v>40.837694489608801</v>
      </c>
      <c r="L136" s="24">
        <v>36.625523845295398</v>
      </c>
      <c r="M136" s="24">
        <v>33.297155402408798</v>
      </c>
      <c r="N136" s="24">
        <v>31.254865415928801</v>
      </c>
      <c r="O136" s="24">
        <v>29.840644416967699</v>
      </c>
      <c r="P136" s="24">
        <v>29.085720868462701</v>
      </c>
      <c r="Q136" s="24">
        <v>22.102305958596901</v>
      </c>
      <c r="R136" s="25">
        <v>7.0521301721852003</v>
      </c>
    </row>
    <row r="137" spans="1:18" x14ac:dyDescent="0.3">
      <c r="A137" s="18">
        <v>18.06020067</v>
      </c>
      <c r="B137" s="23">
        <v>134.838439217283</v>
      </c>
      <c r="C137" s="24">
        <v>82.321022500670097</v>
      </c>
      <c r="D137" s="24">
        <v>78.794829012657701</v>
      </c>
      <c r="E137" s="24">
        <v>66.864306792891995</v>
      </c>
      <c r="F137" s="24">
        <v>58.4718301696441</v>
      </c>
      <c r="G137" s="24">
        <v>56.456244148676703</v>
      </c>
      <c r="H137" s="24">
        <v>54.600350542705399</v>
      </c>
      <c r="I137" s="24">
        <v>49.960616527776303</v>
      </c>
      <c r="J137" s="24">
        <v>45.4323324042319</v>
      </c>
      <c r="K137" s="24">
        <v>40.936076239578803</v>
      </c>
      <c r="L137" s="24">
        <v>36.659491187479603</v>
      </c>
      <c r="M137" s="24">
        <v>33.317753576983598</v>
      </c>
      <c r="N137" s="24">
        <v>31.292461426431402</v>
      </c>
      <c r="O137" s="24">
        <v>29.846136688685</v>
      </c>
      <c r="P137" s="24">
        <v>29.111596994430101</v>
      </c>
      <c r="Q137" s="24">
        <v>22.1597845108186</v>
      </c>
      <c r="R137" s="25">
        <v>7.1027677107836</v>
      </c>
    </row>
    <row r="138" spans="1:18" x14ac:dyDescent="0.3">
      <c r="A138" s="18">
        <v>18.193979930000001</v>
      </c>
      <c r="B138" s="23">
        <v>134.967281581858</v>
      </c>
      <c r="C138" s="24">
        <v>82.723507852536201</v>
      </c>
      <c r="D138" s="24">
        <v>79.412233523858603</v>
      </c>
      <c r="E138" s="24">
        <v>67.430349509854594</v>
      </c>
      <c r="F138" s="24">
        <v>58.852557059792403</v>
      </c>
      <c r="G138" s="24">
        <v>56.798276327571401</v>
      </c>
      <c r="H138" s="24">
        <v>54.912919806004297</v>
      </c>
      <c r="I138" s="24">
        <v>50.199528502085499</v>
      </c>
      <c r="J138" s="24">
        <v>45.6005530887455</v>
      </c>
      <c r="K138" s="24">
        <v>41.034457989548798</v>
      </c>
      <c r="L138" s="24">
        <v>36.693458529663701</v>
      </c>
      <c r="M138" s="24">
        <v>33.338351751558399</v>
      </c>
      <c r="N138" s="24">
        <v>31.330057436933998</v>
      </c>
      <c r="O138" s="24">
        <v>29.851628960402401</v>
      </c>
      <c r="P138" s="24">
        <v>29.137473120397601</v>
      </c>
      <c r="Q138" s="24">
        <v>22.217263063040399</v>
      </c>
      <c r="R138" s="25">
        <v>7.15340524938199</v>
      </c>
    </row>
    <row r="139" spans="1:18" x14ac:dyDescent="0.3">
      <c r="A139" s="18">
        <v>18.327759199999999</v>
      </c>
      <c r="B139" s="23">
        <v>135.09612394643301</v>
      </c>
      <c r="C139" s="24">
        <v>83.125993204402306</v>
      </c>
      <c r="D139" s="24">
        <v>80.029638035059506</v>
      </c>
      <c r="E139" s="24">
        <v>67.996392226817093</v>
      </c>
      <c r="F139" s="24">
        <v>59.233283949940699</v>
      </c>
      <c r="G139" s="24">
        <v>57.140308506466098</v>
      </c>
      <c r="H139" s="24">
        <v>55.225489069303102</v>
      </c>
      <c r="I139" s="24">
        <v>50.438440476394597</v>
      </c>
      <c r="J139" s="24">
        <v>45.768773773258999</v>
      </c>
      <c r="K139" s="24">
        <v>41.132839739518801</v>
      </c>
      <c r="L139" s="24">
        <v>36.727425871847799</v>
      </c>
      <c r="M139" s="24">
        <v>33.358949926133199</v>
      </c>
      <c r="N139" s="24">
        <v>31.367653447436599</v>
      </c>
      <c r="O139" s="24">
        <v>29.857121232119798</v>
      </c>
      <c r="P139" s="24">
        <v>29.163349246365001</v>
      </c>
      <c r="Q139" s="24">
        <v>22.274741615262101</v>
      </c>
      <c r="R139" s="25">
        <v>7.2040427879803897</v>
      </c>
    </row>
    <row r="140" spans="1:18" x14ac:dyDescent="0.3">
      <c r="A140" s="18">
        <v>18.46153846</v>
      </c>
      <c r="B140" s="23">
        <v>135.22496631100901</v>
      </c>
      <c r="C140" s="24">
        <v>83.528478556268496</v>
      </c>
      <c r="D140" s="24">
        <v>80.647042546260394</v>
      </c>
      <c r="E140" s="24">
        <v>68.562434943779607</v>
      </c>
      <c r="F140" s="24">
        <v>59.614010840089001</v>
      </c>
      <c r="G140" s="24">
        <v>57.482340685360803</v>
      </c>
      <c r="H140" s="24">
        <v>55.538058332601999</v>
      </c>
      <c r="I140" s="24">
        <v>50.677352450703701</v>
      </c>
      <c r="J140" s="24">
        <v>45.936994457772599</v>
      </c>
      <c r="K140" s="24">
        <v>41.231221489488803</v>
      </c>
      <c r="L140" s="24">
        <v>36.761393214031898</v>
      </c>
      <c r="M140" s="24">
        <v>33.3795481007079</v>
      </c>
      <c r="N140" s="24">
        <v>31.405249457939099</v>
      </c>
      <c r="O140" s="24">
        <v>29.862613503837199</v>
      </c>
      <c r="P140" s="24">
        <v>29.189225372332501</v>
      </c>
      <c r="Q140" s="24">
        <v>22.332220167483801</v>
      </c>
      <c r="R140" s="25">
        <v>7.2546803265787903</v>
      </c>
    </row>
    <row r="141" spans="1:18" x14ac:dyDescent="0.3">
      <c r="A141" s="18">
        <v>18.595317730000001</v>
      </c>
      <c r="B141" s="23">
        <v>135.35380867558399</v>
      </c>
      <c r="C141" s="24">
        <v>83.930963908134601</v>
      </c>
      <c r="D141" s="24">
        <v>81.264447057461297</v>
      </c>
      <c r="E141" s="24">
        <v>69.128477660742206</v>
      </c>
      <c r="F141" s="24">
        <v>59.994737730237397</v>
      </c>
      <c r="G141" s="24">
        <v>57.824372864255501</v>
      </c>
      <c r="H141" s="24">
        <v>55.850627595900797</v>
      </c>
      <c r="I141" s="24">
        <v>50.916264425012898</v>
      </c>
      <c r="J141" s="24">
        <v>46.105215142286099</v>
      </c>
      <c r="K141" s="24">
        <v>41.329603239458798</v>
      </c>
      <c r="L141" s="24">
        <v>36.795360556216004</v>
      </c>
      <c r="M141" s="24">
        <v>33.400146275282701</v>
      </c>
      <c r="N141" s="24">
        <v>31.4428454684417</v>
      </c>
      <c r="O141" s="24">
        <v>29.868105775554501</v>
      </c>
      <c r="P141" s="24">
        <v>29.215101498299902</v>
      </c>
      <c r="Q141" s="24">
        <v>22.389698719705599</v>
      </c>
      <c r="R141" s="25">
        <v>7.3053178651771802</v>
      </c>
    </row>
    <row r="142" spans="1:18" x14ac:dyDescent="0.3">
      <c r="A142" s="18">
        <v>18.729096989999999</v>
      </c>
      <c r="B142" s="23">
        <v>135.48265104015999</v>
      </c>
      <c r="C142" s="24">
        <v>84.333449260000705</v>
      </c>
      <c r="D142" s="24">
        <v>81.881851568662199</v>
      </c>
      <c r="E142" s="24">
        <v>69.694520377704706</v>
      </c>
      <c r="F142" s="24">
        <v>60.375464620385699</v>
      </c>
      <c r="G142" s="24">
        <v>58.166405043150199</v>
      </c>
      <c r="H142" s="24">
        <v>56.163196859199601</v>
      </c>
      <c r="I142" s="24">
        <v>51.155176399322002</v>
      </c>
      <c r="J142" s="24">
        <v>46.273435826799698</v>
      </c>
      <c r="K142" s="24">
        <v>41.427984989428801</v>
      </c>
      <c r="L142" s="24">
        <v>36.829327898400102</v>
      </c>
      <c r="M142" s="24">
        <v>33.420744449857501</v>
      </c>
      <c r="N142" s="24">
        <v>31.4804414789443</v>
      </c>
      <c r="O142" s="24">
        <v>29.873598047271901</v>
      </c>
      <c r="P142" s="24">
        <v>29.240977624267401</v>
      </c>
      <c r="Q142" s="24">
        <v>22.447177271927298</v>
      </c>
      <c r="R142" s="25">
        <v>7.3559554037755799</v>
      </c>
    </row>
    <row r="143" spans="1:18" x14ac:dyDescent="0.3">
      <c r="A143" s="18">
        <v>18.862876249999999</v>
      </c>
      <c r="B143" s="23">
        <v>135.611493404735</v>
      </c>
      <c r="C143" s="24">
        <v>84.735934611866796</v>
      </c>
      <c r="D143" s="24">
        <v>82.499256079863201</v>
      </c>
      <c r="E143" s="24">
        <v>70.260563094667305</v>
      </c>
      <c r="F143" s="24">
        <v>60.756191510534002</v>
      </c>
      <c r="G143" s="24">
        <v>58.508437222044897</v>
      </c>
      <c r="H143" s="24">
        <v>56.475766122498499</v>
      </c>
      <c r="I143" s="24">
        <v>51.394088373631099</v>
      </c>
      <c r="J143" s="24">
        <v>46.441656511313198</v>
      </c>
      <c r="K143" s="24">
        <v>41.526366739398803</v>
      </c>
      <c r="L143" s="24">
        <v>36.8632952405843</v>
      </c>
      <c r="M143" s="24">
        <v>33.441342624432203</v>
      </c>
      <c r="N143" s="24">
        <v>31.5180374894469</v>
      </c>
      <c r="O143" s="24">
        <v>29.879090318989299</v>
      </c>
      <c r="P143" s="24">
        <v>29.266853750234802</v>
      </c>
      <c r="Q143" s="24">
        <v>22.504655824149001</v>
      </c>
      <c r="R143" s="25">
        <v>7.4065929423739796</v>
      </c>
    </row>
    <row r="144" spans="1:18" x14ac:dyDescent="0.3">
      <c r="A144" s="18">
        <v>18.996655520000001</v>
      </c>
      <c r="B144" s="23">
        <v>135.740335769311</v>
      </c>
      <c r="C144" s="24">
        <v>85.1384199637329</v>
      </c>
      <c r="D144" s="24">
        <v>83.116660591064104</v>
      </c>
      <c r="E144" s="24">
        <v>70.826605811629804</v>
      </c>
      <c r="F144" s="24">
        <v>61.136918400682298</v>
      </c>
      <c r="G144" s="24">
        <v>58.850469400939602</v>
      </c>
      <c r="H144" s="24">
        <v>56.788335385797303</v>
      </c>
      <c r="I144" s="24">
        <v>51.633000347940303</v>
      </c>
      <c r="J144" s="24">
        <v>46.609877195826797</v>
      </c>
      <c r="K144" s="24">
        <v>41.624748489368798</v>
      </c>
      <c r="L144" s="24">
        <v>36.897262582768398</v>
      </c>
      <c r="M144" s="24">
        <v>33.461940799007003</v>
      </c>
      <c r="N144" s="24">
        <v>31.555633499949501</v>
      </c>
      <c r="O144" s="24">
        <v>29.8845825907067</v>
      </c>
      <c r="P144" s="24">
        <v>29.292729876202301</v>
      </c>
      <c r="Q144" s="24">
        <v>22.5621343763708</v>
      </c>
      <c r="R144" s="25">
        <v>7.4572304809723704</v>
      </c>
    </row>
    <row r="145" spans="1:18" x14ac:dyDescent="0.3">
      <c r="A145" s="18">
        <v>19.130434780000002</v>
      </c>
      <c r="B145" s="23">
        <v>135.86917813388601</v>
      </c>
      <c r="C145" s="24">
        <v>85.540905315599105</v>
      </c>
      <c r="D145" s="24">
        <v>83.734065102265006</v>
      </c>
      <c r="E145" s="24">
        <v>71.392648528592403</v>
      </c>
      <c r="F145" s="24">
        <v>61.5176452908306</v>
      </c>
      <c r="G145" s="24">
        <v>59.192501579834399</v>
      </c>
      <c r="H145" s="24">
        <v>57.100904649096101</v>
      </c>
      <c r="I145" s="24">
        <v>51.871912322249401</v>
      </c>
      <c r="J145" s="24">
        <v>46.778097880340297</v>
      </c>
      <c r="K145" s="24">
        <v>41.723130239338801</v>
      </c>
      <c r="L145" s="24">
        <v>36.931229924952497</v>
      </c>
      <c r="M145" s="24">
        <v>33.482538973581804</v>
      </c>
      <c r="N145" s="24">
        <v>31.593229510452101</v>
      </c>
      <c r="O145" s="24">
        <v>29.890074862424001</v>
      </c>
      <c r="P145" s="24">
        <v>29.318606002169702</v>
      </c>
      <c r="Q145" s="24">
        <v>22.619612928592499</v>
      </c>
      <c r="R145" s="25">
        <v>7.5078680195707701</v>
      </c>
    </row>
    <row r="146" spans="1:18" x14ac:dyDescent="0.3">
      <c r="A146" s="18">
        <v>19.26421405</v>
      </c>
      <c r="B146" s="23">
        <v>135.99802049846201</v>
      </c>
      <c r="C146" s="24">
        <v>85.943390667465195</v>
      </c>
      <c r="D146" s="24">
        <v>84.351469613465895</v>
      </c>
      <c r="E146" s="24">
        <v>71.958691245554903</v>
      </c>
      <c r="F146" s="24">
        <v>61.898372180978903</v>
      </c>
      <c r="G146" s="24">
        <v>59.534533758729097</v>
      </c>
      <c r="H146" s="24">
        <v>57.413473912394998</v>
      </c>
      <c r="I146" s="24">
        <v>52.110824296558498</v>
      </c>
      <c r="J146" s="24">
        <v>46.946318564853897</v>
      </c>
      <c r="K146" s="24">
        <v>41.821511989308803</v>
      </c>
      <c r="L146" s="24">
        <v>36.965197267136602</v>
      </c>
      <c r="M146" s="24">
        <v>33.503137148156597</v>
      </c>
      <c r="N146" s="24">
        <v>31.630825520954598</v>
      </c>
      <c r="O146" s="24">
        <v>29.895567134141402</v>
      </c>
      <c r="P146" s="24">
        <v>29.344482128137201</v>
      </c>
      <c r="Q146" s="24">
        <v>22.677091480814202</v>
      </c>
      <c r="R146" s="25">
        <v>7.5585055581691698</v>
      </c>
    </row>
    <row r="147" spans="1:18" x14ac:dyDescent="0.3">
      <c r="A147" s="18">
        <v>19.39799331</v>
      </c>
      <c r="B147" s="23">
        <v>136.12686286303699</v>
      </c>
      <c r="C147" s="24">
        <v>86.3458760193313</v>
      </c>
      <c r="D147" s="24">
        <v>84.968874124666797</v>
      </c>
      <c r="E147" s="24">
        <v>72.524733962517502</v>
      </c>
      <c r="F147" s="24">
        <v>62.279099071127298</v>
      </c>
      <c r="G147" s="24">
        <v>59.876565937623802</v>
      </c>
      <c r="H147" s="24">
        <v>57.726043175693803</v>
      </c>
      <c r="I147" s="24">
        <v>52.349736270867702</v>
      </c>
      <c r="J147" s="24">
        <v>47.114539249367397</v>
      </c>
      <c r="K147" s="24">
        <v>41.919893739278798</v>
      </c>
      <c r="L147" s="24">
        <v>36.999164609320701</v>
      </c>
      <c r="M147" s="24">
        <v>33.523735322731298</v>
      </c>
      <c r="N147" s="24">
        <v>31.668421531457199</v>
      </c>
      <c r="O147" s="24">
        <v>29.901059405858799</v>
      </c>
      <c r="P147" s="24">
        <v>29.370358254104602</v>
      </c>
      <c r="Q147" s="24">
        <v>22.734570033036</v>
      </c>
      <c r="R147" s="25">
        <v>7.6091430967675704</v>
      </c>
    </row>
    <row r="148" spans="1:18" x14ac:dyDescent="0.3">
      <c r="A148" s="18">
        <v>19.531772579999998</v>
      </c>
      <c r="B148" s="23">
        <v>136.25570522761299</v>
      </c>
      <c r="C148" s="24">
        <v>86.748361371197404</v>
      </c>
      <c r="D148" s="24">
        <v>85.5862786358677</v>
      </c>
      <c r="E148" s="24">
        <v>73.090776679480001</v>
      </c>
      <c r="F148" s="24">
        <v>62.659825961275601</v>
      </c>
      <c r="G148" s="24">
        <v>60.2185981165185</v>
      </c>
      <c r="H148" s="24">
        <v>58.038612438992601</v>
      </c>
      <c r="I148" s="24">
        <v>52.588648245176799</v>
      </c>
      <c r="J148" s="24">
        <v>47.282759933880897</v>
      </c>
      <c r="K148" s="24">
        <v>42.018275489248801</v>
      </c>
      <c r="L148" s="24">
        <v>37.033131951504799</v>
      </c>
      <c r="M148" s="24">
        <v>33.544333497306098</v>
      </c>
      <c r="N148" s="24">
        <v>31.706017541959799</v>
      </c>
      <c r="O148" s="24">
        <v>29.9065516775762</v>
      </c>
      <c r="P148" s="24">
        <v>29.396234380072102</v>
      </c>
      <c r="Q148" s="24">
        <v>22.7920485852577</v>
      </c>
      <c r="R148" s="25">
        <v>7.6597806353659603</v>
      </c>
    </row>
    <row r="149" spans="1:18" x14ac:dyDescent="0.3">
      <c r="A149" s="18">
        <v>19.665551839999999</v>
      </c>
      <c r="B149" s="23">
        <v>136.30640204052</v>
      </c>
      <c r="C149" s="24">
        <v>86.928011945571797</v>
      </c>
      <c r="D149" s="24">
        <v>85.687083794744595</v>
      </c>
      <c r="E149" s="24">
        <v>73.235101521368307</v>
      </c>
      <c r="F149" s="24">
        <v>62.8306604710275</v>
      </c>
      <c r="G149" s="24">
        <v>60.388577448310102</v>
      </c>
      <c r="H149" s="24">
        <v>58.204095145204597</v>
      </c>
      <c r="I149" s="24">
        <v>52.756021868757699</v>
      </c>
      <c r="J149" s="24">
        <v>47.453915575965603</v>
      </c>
      <c r="K149" s="24">
        <v>42.1966429908301</v>
      </c>
      <c r="L149" s="24">
        <v>37.219824898690199</v>
      </c>
      <c r="M149" s="24">
        <v>33.742447668150596</v>
      </c>
      <c r="N149" s="24">
        <v>31.9100294794444</v>
      </c>
      <c r="O149" s="24">
        <v>30.1095812078843</v>
      </c>
      <c r="P149" s="24">
        <v>29.5977710528615</v>
      </c>
      <c r="Q149" s="24">
        <v>22.857216328583402</v>
      </c>
      <c r="R149" s="25">
        <v>7.6674679985287701</v>
      </c>
    </row>
    <row r="150" spans="1:18" x14ac:dyDescent="0.3">
      <c r="A150" s="18">
        <v>19.7993311</v>
      </c>
      <c r="B150" s="23">
        <v>136.344771986377</v>
      </c>
      <c r="C150" s="24">
        <v>87.072512026825194</v>
      </c>
      <c r="D150" s="24">
        <v>85.706399330751196</v>
      </c>
      <c r="E150" s="24">
        <v>73.312903572543107</v>
      </c>
      <c r="F150" s="24">
        <v>62.968386052467999</v>
      </c>
      <c r="G150" s="24">
        <v>60.531416750674502</v>
      </c>
      <c r="H150" s="24">
        <v>58.346376064553397</v>
      </c>
      <c r="I150" s="24">
        <v>52.9121108610371</v>
      </c>
      <c r="J150" s="24">
        <v>47.625534185308297</v>
      </c>
      <c r="K150" s="24">
        <v>42.387627637021701</v>
      </c>
      <c r="L150" s="24">
        <v>37.4306091497035</v>
      </c>
      <c r="M150" s="24">
        <v>33.968563638696097</v>
      </c>
      <c r="N150" s="24">
        <v>32.140292265034603</v>
      </c>
      <c r="O150" s="24">
        <v>30.343770739909299</v>
      </c>
      <c r="P150" s="24">
        <v>29.8270168422988</v>
      </c>
      <c r="Q150" s="24">
        <v>22.9235969833857</v>
      </c>
      <c r="R150" s="25">
        <v>7.6683802978384898</v>
      </c>
    </row>
    <row r="151" spans="1:18" x14ac:dyDescent="0.3">
      <c r="A151" s="18">
        <v>19.933110370000001</v>
      </c>
      <c r="B151" s="23">
        <v>136.383141932234</v>
      </c>
      <c r="C151" s="24">
        <v>87.217012108078606</v>
      </c>
      <c r="D151" s="24">
        <v>85.725714866757798</v>
      </c>
      <c r="E151" s="24">
        <v>73.390705623717807</v>
      </c>
      <c r="F151" s="24">
        <v>63.106111633908498</v>
      </c>
      <c r="G151" s="24">
        <v>60.674256053038803</v>
      </c>
      <c r="H151" s="24">
        <v>58.488656983902104</v>
      </c>
      <c r="I151" s="24">
        <v>53.0681998533165</v>
      </c>
      <c r="J151" s="24">
        <v>47.797152794650998</v>
      </c>
      <c r="K151" s="24">
        <v>42.578612283213303</v>
      </c>
      <c r="L151" s="24">
        <v>37.641393400716801</v>
      </c>
      <c r="M151" s="24">
        <v>34.194679609241497</v>
      </c>
      <c r="N151" s="24">
        <v>32.370555050624901</v>
      </c>
      <c r="O151" s="24">
        <v>30.577960271934401</v>
      </c>
      <c r="P151" s="24">
        <v>30.056262631736001</v>
      </c>
      <c r="Q151" s="24">
        <v>22.989977638188002</v>
      </c>
      <c r="R151" s="25">
        <v>7.6692925971481998</v>
      </c>
    </row>
    <row r="152" spans="1:18" x14ac:dyDescent="0.3">
      <c r="A152" s="18">
        <v>20.066889629999999</v>
      </c>
      <c r="B152" s="23">
        <v>136.421511878091</v>
      </c>
      <c r="C152" s="24">
        <v>87.361512189331904</v>
      </c>
      <c r="D152" s="24">
        <v>85.745030402764399</v>
      </c>
      <c r="E152" s="24">
        <v>73.468507674892507</v>
      </c>
      <c r="F152" s="24">
        <v>63.243837215348996</v>
      </c>
      <c r="G152" s="24">
        <v>60.817095355403197</v>
      </c>
      <c r="H152" s="24">
        <v>58.630937903250903</v>
      </c>
      <c r="I152" s="24">
        <v>53.2242888455959</v>
      </c>
      <c r="J152" s="24">
        <v>47.968771403993699</v>
      </c>
      <c r="K152" s="24">
        <v>42.769596929404798</v>
      </c>
      <c r="L152" s="24">
        <v>37.852177651730202</v>
      </c>
      <c r="M152" s="24">
        <v>34.420795579786997</v>
      </c>
      <c r="N152" s="24">
        <v>32.600817836215199</v>
      </c>
      <c r="O152" s="24">
        <v>30.8121498039595</v>
      </c>
      <c r="P152" s="24">
        <v>30.285508421173301</v>
      </c>
      <c r="Q152" s="24">
        <v>23.056358292990399</v>
      </c>
      <c r="R152" s="25">
        <v>7.6702048964579204</v>
      </c>
    </row>
    <row r="153" spans="1:18" x14ac:dyDescent="0.3">
      <c r="A153" s="18">
        <v>20.2006689</v>
      </c>
      <c r="B153" s="23">
        <v>136.459881823947</v>
      </c>
      <c r="C153" s="24">
        <v>87.506012270585302</v>
      </c>
      <c r="D153" s="24">
        <v>85.7643459387711</v>
      </c>
      <c r="E153" s="24">
        <v>73.546309726067193</v>
      </c>
      <c r="F153" s="24">
        <v>63.381562796789503</v>
      </c>
      <c r="G153" s="24">
        <v>60.959934657767597</v>
      </c>
      <c r="H153" s="24">
        <v>58.773218822599603</v>
      </c>
      <c r="I153" s="24">
        <v>53.380377837875301</v>
      </c>
      <c r="J153" s="24">
        <v>48.140390013336301</v>
      </c>
      <c r="K153" s="24">
        <v>42.9605815755964</v>
      </c>
      <c r="L153" s="24">
        <v>38.062961902743503</v>
      </c>
      <c r="M153" s="24">
        <v>34.646911550332497</v>
      </c>
      <c r="N153" s="24">
        <v>32.831080621805398</v>
      </c>
      <c r="O153" s="24">
        <v>31.046339335984499</v>
      </c>
      <c r="P153" s="24">
        <v>30.514754210610501</v>
      </c>
      <c r="Q153" s="24">
        <v>23.122738947792701</v>
      </c>
      <c r="R153" s="25">
        <v>7.6711171957676401</v>
      </c>
    </row>
    <row r="154" spans="1:18" x14ac:dyDescent="0.3">
      <c r="A154" s="18">
        <v>20.334448160000001</v>
      </c>
      <c r="B154" s="23">
        <v>136.498251769804</v>
      </c>
      <c r="C154" s="24">
        <v>87.650512351838699</v>
      </c>
      <c r="D154" s="24">
        <v>85.783661474777702</v>
      </c>
      <c r="E154" s="24">
        <v>73.624111777242007</v>
      </c>
      <c r="F154" s="24">
        <v>63.519288378230002</v>
      </c>
      <c r="G154" s="24">
        <v>61.102773960131898</v>
      </c>
      <c r="H154" s="24">
        <v>58.915499741948402</v>
      </c>
      <c r="I154" s="24">
        <v>53.536466830154701</v>
      </c>
      <c r="J154" s="24">
        <v>48.312008622679002</v>
      </c>
      <c r="K154" s="24">
        <v>43.151566221787903</v>
      </c>
      <c r="L154" s="24">
        <v>38.273746153756797</v>
      </c>
      <c r="M154" s="24">
        <v>34.873027520877898</v>
      </c>
      <c r="N154" s="24">
        <v>33.061343407395697</v>
      </c>
      <c r="O154" s="24">
        <v>31.280528868009601</v>
      </c>
      <c r="P154" s="24">
        <v>30.744000000047699</v>
      </c>
      <c r="Q154" s="24">
        <v>23.189119602594999</v>
      </c>
      <c r="R154" s="25">
        <v>7.6720294950773598</v>
      </c>
    </row>
    <row r="155" spans="1:18" x14ac:dyDescent="0.3">
      <c r="A155" s="18">
        <v>20.468227420000002</v>
      </c>
      <c r="B155" s="23">
        <v>136.536621715661</v>
      </c>
      <c r="C155" s="24">
        <v>87.795012433092097</v>
      </c>
      <c r="D155" s="24">
        <v>85.802977010784304</v>
      </c>
      <c r="E155" s="24">
        <v>73.701913828416707</v>
      </c>
      <c r="F155" s="24">
        <v>63.6570139596705</v>
      </c>
      <c r="G155" s="24">
        <v>61.245613262496299</v>
      </c>
      <c r="H155" s="24">
        <v>59.057780661297102</v>
      </c>
      <c r="I155" s="24">
        <v>53.692555822434102</v>
      </c>
      <c r="J155" s="24">
        <v>48.483627232021703</v>
      </c>
      <c r="K155" s="24">
        <v>43.342550867979497</v>
      </c>
      <c r="L155" s="24">
        <v>38.484530404770098</v>
      </c>
      <c r="M155" s="24">
        <v>35.099143491423398</v>
      </c>
      <c r="N155" s="24">
        <v>33.291606192985903</v>
      </c>
      <c r="O155" s="24">
        <v>31.514718400034599</v>
      </c>
      <c r="P155" s="24">
        <v>30.973245789484999</v>
      </c>
      <c r="Q155" s="24">
        <v>23.255500257397301</v>
      </c>
      <c r="R155" s="25">
        <v>7.6729417943870803</v>
      </c>
    </row>
    <row r="156" spans="1:18" x14ac:dyDescent="0.3">
      <c r="A156" s="18">
        <v>20.60200669</v>
      </c>
      <c r="B156" s="23">
        <v>136.574991661518</v>
      </c>
      <c r="C156" s="24">
        <v>87.939512514345495</v>
      </c>
      <c r="D156" s="24">
        <v>85.822292546790905</v>
      </c>
      <c r="E156" s="24">
        <v>73.779715879591393</v>
      </c>
      <c r="F156" s="24">
        <v>63.794739541110999</v>
      </c>
      <c r="G156" s="24">
        <v>61.3884525648607</v>
      </c>
      <c r="H156" s="24">
        <v>59.200061580645901</v>
      </c>
      <c r="I156" s="24">
        <v>53.848644814713502</v>
      </c>
      <c r="J156" s="24">
        <v>48.655245841364298</v>
      </c>
      <c r="K156" s="24">
        <v>43.533535514171099</v>
      </c>
      <c r="L156" s="24">
        <v>38.695314655783498</v>
      </c>
      <c r="M156" s="24">
        <v>35.325259461968898</v>
      </c>
      <c r="N156" s="24">
        <v>33.521868978576201</v>
      </c>
      <c r="O156" s="24">
        <v>31.748907932059701</v>
      </c>
      <c r="P156" s="24">
        <v>31.202491578922199</v>
      </c>
      <c r="Q156" s="24">
        <v>23.3218809121996</v>
      </c>
      <c r="R156" s="25">
        <v>7.6738540936968</v>
      </c>
    </row>
    <row r="157" spans="1:18" x14ac:dyDescent="0.3">
      <c r="A157" s="18">
        <v>20.73578595</v>
      </c>
      <c r="B157" s="23">
        <v>136.613361607375</v>
      </c>
      <c r="C157" s="24">
        <v>88.084012595598793</v>
      </c>
      <c r="D157" s="24">
        <v>85.841608082797606</v>
      </c>
      <c r="E157" s="24">
        <v>73.857517930766093</v>
      </c>
      <c r="F157" s="24">
        <v>63.932465122551498</v>
      </c>
      <c r="G157" s="24">
        <v>61.531291867225001</v>
      </c>
      <c r="H157" s="24">
        <v>59.342342499994601</v>
      </c>
      <c r="I157" s="24">
        <v>54.004733806992803</v>
      </c>
      <c r="J157" s="24">
        <v>48.826864450706999</v>
      </c>
      <c r="K157" s="24">
        <v>43.724520160362601</v>
      </c>
      <c r="L157" s="24">
        <v>38.906098906796799</v>
      </c>
      <c r="M157" s="24">
        <v>35.551375432514398</v>
      </c>
      <c r="N157" s="24">
        <v>33.752131764166499</v>
      </c>
      <c r="O157" s="24">
        <v>31.9830974640847</v>
      </c>
      <c r="P157" s="24">
        <v>31.4317373683594</v>
      </c>
      <c r="Q157" s="24">
        <v>23.388261567001901</v>
      </c>
      <c r="R157" s="25">
        <v>7.6747663930065197</v>
      </c>
    </row>
    <row r="158" spans="1:18" x14ac:dyDescent="0.3">
      <c r="A158" s="18">
        <v>20.869565219999998</v>
      </c>
      <c r="B158" s="23">
        <v>136.651731553232</v>
      </c>
      <c r="C158" s="24">
        <v>88.228512676852205</v>
      </c>
      <c r="D158" s="24">
        <v>85.860923618804193</v>
      </c>
      <c r="E158" s="24">
        <v>73.935319981940907</v>
      </c>
      <c r="F158" s="24">
        <v>64.070190703991997</v>
      </c>
      <c r="G158" s="24">
        <v>61.674131169589401</v>
      </c>
      <c r="H158" s="24">
        <v>59.4846234193434</v>
      </c>
      <c r="I158" s="24">
        <v>54.160822799272196</v>
      </c>
      <c r="J158" s="24">
        <v>48.998483060049701</v>
      </c>
      <c r="K158" s="24">
        <v>43.915504806554203</v>
      </c>
      <c r="L158" s="24">
        <v>39.116883157810101</v>
      </c>
      <c r="M158" s="24">
        <v>35.777491403059798</v>
      </c>
      <c r="N158" s="24">
        <v>33.982394549756698</v>
      </c>
      <c r="O158" s="24">
        <v>32.217286996109799</v>
      </c>
      <c r="P158" s="24">
        <v>31.6609831577967</v>
      </c>
      <c r="Q158" s="24">
        <v>23.454642221804299</v>
      </c>
      <c r="R158" s="25">
        <v>7.6756786923162403</v>
      </c>
    </row>
    <row r="159" spans="1:18" x14ac:dyDescent="0.3">
      <c r="A159" s="18">
        <v>21.003344479999999</v>
      </c>
      <c r="B159" s="23">
        <v>136.690101499088</v>
      </c>
      <c r="C159" s="24">
        <v>88.373012758105602</v>
      </c>
      <c r="D159" s="24">
        <v>85.880239154810795</v>
      </c>
      <c r="E159" s="24">
        <v>74.013122033115593</v>
      </c>
      <c r="F159" s="24">
        <v>64.207916285432503</v>
      </c>
      <c r="G159" s="24">
        <v>61.816970471953802</v>
      </c>
      <c r="H159" s="24">
        <v>59.626904338692199</v>
      </c>
      <c r="I159" s="24">
        <v>54.316911791551597</v>
      </c>
      <c r="J159" s="24">
        <v>49.170101669392302</v>
      </c>
      <c r="K159" s="24">
        <v>44.106489452745699</v>
      </c>
      <c r="L159" s="24">
        <v>39.327667408823402</v>
      </c>
      <c r="M159" s="24">
        <v>36.003607373605298</v>
      </c>
      <c r="N159" s="24">
        <v>34.212657335346996</v>
      </c>
      <c r="O159" s="24">
        <v>32.451476528134798</v>
      </c>
      <c r="P159" s="24">
        <v>31.890228947233901</v>
      </c>
      <c r="Q159" s="24">
        <v>23.521022876606601</v>
      </c>
      <c r="R159" s="25">
        <v>7.67659099162596</v>
      </c>
    </row>
    <row r="160" spans="1:18" x14ac:dyDescent="0.3">
      <c r="A160" s="18">
        <v>21.137123750000001</v>
      </c>
      <c r="B160" s="23">
        <v>136.728471444945</v>
      </c>
      <c r="C160" s="24">
        <v>88.517512839359</v>
      </c>
      <c r="D160" s="24">
        <v>85.899554690817496</v>
      </c>
      <c r="E160" s="24">
        <v>74.090924084290293</v>
      </c>
      <c r="F160" s="24">
        <v>64.345641866872995</v>
      </c>
      <c r="G160" s="24">
        <v>61.959809774318103</v>
      </c>
      <c r="H160" s="24">
        <v>59.769185258040899</v>
      </c>
      <c r="I160" s="24">
        <v>54.473000783830997</v>
      </c>
      <c r="J160" s="24">
        <v>49.341720278735004</v>
      </c>
      <c r="K160" s="24">
        <v>44.2974740989373</v>
      </c>
      <c r="L160" s="24">
        <v>39.538451659836703</v>
      </c>
      <c r="M160" s="24">
        <v>36.229723344150798</v>
      </c>
      <c r="N160" s="24">
        <v>34.442920120937302</v>
      </c>
      <c r="O160" s="24">
        <v>32.685666060159903</v>
      </c>
      <c r="P160" s="24">
        <v>32.119474736671101</v>
      </c>
      <c r="Q160" s="24">
        <v>23.587403531408899</v>
      </c>
      <c r="R160" s="25">
        <v>7.6775032909356797</v>
      </c>
    </row>
    <row r="161" spans="1:18" x14ac:dyDescent="0.3">
      <c r="A161" s="18">
        <v>21.270903010000001</v>
      </c>
      <c r="B161" s="23">
        <v>136.766841390802</v>
      </c>
      <c r="C161" s="24">
        <v>88.662012920612398</v>
      </c>
      <c r="D161" s="24">
        <v>85.918870226824097</v>
      </c>
      <c r="E161" s="24">
        <v>74.168726135464993</v>
      </c>
      <c r="F161" s="24">
        <v>64.483367448313501</v>
      </c>
      <c r="G161" s="24">
        <v>62.102649076682503</v>
      </c>
      <c r="H161" s="24">
        <v>59.911466177389698</v>
      </c>
      <c r="I161" s="24">
        <v>54.629089776110398</v>
      </c>
      <c r="J161" s="24">
        <v>49.513338888077698</v>
      </c>
      <c r="K161" s="24">
        <v>44.488458745128902</v>
      </c>
      <c r="L161" s="24">
        <v>39.749235910850103</v>
      </c>
      <c r="M161" s="24">
        <v>36.455839314696199</v>
      </c>
      <c r="N161" s="24">
        <v>34.673182906527501</v>
      </c>
      <c r="O161" s="24">
        <v>32.919855592184902</v>
      </c>
      <c r="P161" s="24">
        <v>32.348720526108401</v>
      </c>
      <c r="Q161" s="24">
        <v>23.653784186211201</v>
      </c>
      <c r="R161" s="25">
        <v>7.6784155902454003</v>
      </c>
    </row>
    <row r="162" spans="1:18" x14ac:dyDescent="0.3">
      <c r="A162" s="18">
        <v>21.404682269999999</v>
      </c>
      <c r="B162" s="23">
        <v>136.805211336659</v>
      </c>
      <c r="C162" s="24">
        <v>88.806513001865696</v>
      </c>
      <c r="D162" s="24">
        <v>85.938185762830699</v>
      </c>
      <c r="E162" s="24">
        <v>74.246528186639793</v>
      </c>
      <c r="F162" s="24">
        <v>64.621093029753993</v>
      </c>
      <c r="G162" s="24">
        <v>62.245488379046897</v>
      </c>
      <c r="H162" s="24">
        <v>60.053747096738398</v>
      </c>
      <c r="I162" s="24">
        <v>54.785178768389798</v>
      </c>
      <c r="J162" s="24">
        <v>49.684957497420299</v>
      </c>
      <c r="K162" s="24">
        <v>44.679443391320397</v>
      </c>
      <c r="L162" s="24">
        <v>39.960020161863397</v>
      </c>
      <c r="M162" s="24">
        <v>36.681955285241699</v>
      </c>
      <c r="N162" s="24">
        <v>34.903445692117799</v>
      </c>
      <c r="O162" s="24">
        <v>33.15404512421</v>
      </c>
      <c r="P162" s="24">
        <v>32.577966315545602</v>
      </c>
      <c r="Q162" s="24">
        <v>23.720164841013499</v>
      </c>
      <c r="R162" s="25">
        <v>7.67932788955512</v>
      </c>
    </row>
    <row r="163" spans="1:18" x14ac:dyDescent="0.3">
      <c r="A163" s="18">
        <v>21.53846154</v>
      </c>
      <c r="B163" s="23">
        <v>136.843581282516</v>
      </c>
      <c r="C163" s="24">
        <v>88.951013083119093</v>
      </c>
      <c r="D163" s="24">
        <v>85.9575012988373</v>
      </c>
      <c r="E163" s="24">
        <v>74.324330237814493</v>
      </c>
      <c r="F163" s="24">
        <v>64.758818611194499</v>
      </c>
      <c r="G163" s="24">
        <v>62.388327681411198</v>
      </c>
      <c r="H163" s="24">
        <v>60.196028016087197</v>
      </c>
      <c r="I163" s="24">
        <v>54.941267760669199</v>
      </c>
      <c r="J163" s="24">
        <v>49.856576106763001</v>
      </c>
      <c r="K163" s="24">
        <v>44.870428037511999</v>
      </c>
      <c r="L163" s="24">
        <v>40.170804412876699</v>
      </c>
      <c r="M163" s="24">
        <v>36.908071255787199</v>
      </c>
      <c r="N163" s="24">
        <v>35.133708477707998</v>
      </c>
      <c r="O163" s="24">
        <v>33.388234656234999</v>
      </c>
      <c r="P163" s="24">
        <v>32.807212104982803</v>
      </c>
      <c r="Q163" s="24">
        <v>23.786545495815801</v>
      </c>
      <c r="R163" s="25">
        <v>7.6802401888648397</v>
      </c>
    </row>
    <row r="164" spans="1:18" x14ac:dyDescent="0.3">
      <c r="A164" s="18">
        <v>21.672240800000001</v>
      </c>
      <c r="B164" s="23">
        <v>136.881951228373</v>
      </c>
      <c r="C164" s="24">
        <v>89.095513164372505</v>
      </c>
      <c r="D164" s="24">
        <v>85.976816834844001</v>
      </c>
      <c r="E164" s="24">
        <v>74.402132288989193</v>
      </c>
      <c r="F164" s="24">
        <v>64.896544192635005</v>
      </c>
      <c r="G164" s="24">
        <v>62.531166983775599</v>
      </c>
      <c r="H164" s="24">
        <v>60.338308935435897</v>
      </c>
      <c r="I164" s="24">
        <v>55.097356752948599</v>
      </c>
      <c r="J164" s="24">
        <v>50.028194716105702</v>
      </c>
      <c r="K164" s="24">
        <v>45.061412683703502</v>
      </c>
      <c r="L164" s="24">
        <v>40.38158866389</v>
      </c>
      <c r="M164" s="24">
        <v>37.134187226332699</v>
      </c>
      <c r="N164" s="24">
        <v>35.363971263298303</v>
      </c>
      <c r="O164" s="24">
        <v>33.622424188260098</v>
      </c>
      <c r="P164" s="24">
        <v>33.036457894420103</v>
      </c>
      <c r="Q164" s="24">
        <v>23.852926150618099</v>
      </c>
      <c r="R164" s="25">
        <v>7.6811524881745603</v>
      </c>
    </row>
    <row r="165" spans="1:18" x14ac:dyDescent="0.3">
      <c r="A165" s="18">
        <v>21.806020069999999</v>
      </c>
      <c r="B165" s="23">
        <v>136.92032117423</v>
      </c>
      <c r="C165" s="24">
        <v>89.240013245625903</v>
      </c>
      <c r="D165" s="24">
        <v>85.996132370850603</v>
      </c>
      <c r="E165" s="24">
        <v>74.479934340163894</v>
      </c>
      <c r="F165" s="24">
        <v>65.034269774075497</v>
      </c>
      <c r="G165" s="24">
        <v>62.6740062861399</v>
      </c>
      <c r="H165" s="24">
        <v>60.480589854784697</v>
      </c>
      <c r="I165" s="24">
        <v>55.2534457452279</v>
      </c>
      <c r="J165" s="24">
        <v>50.199813325448297</v>
      </c>
      <c r="K165" s="24">
        <v>45.252397329895103</v>
      </c>
      <c r="L165" s="24">
        <v>40.5923729149034</v>
      </c>
      <c r="M165" s="24">
        <v>37.3603031968781</v>
      </c>
      <c r="N165" s="24">
        <v>35.594234048888602</v>
      </c>
      <c r="O165" s="24">
        <v>33.856613720285203</v>
      </c>
      <c r="P165" s="24">
        <v>33.265703683857303</v>
      </c>
      <c r="Q165" s="24">
        <v>23.919306805420501</v>
      </c>
      <c r="R165" s="25">
        <v>7.68206478748428</v>
      </c>
    </row>
    <row r="166" spans="1:18" x14ac:dyDescent="0.3">
      <c r="A166" s="18">
        <v>21.93979933</v>
      </c>
      <c r="B166" s="23">
        <v>136.958691120086</v>
      </c>
      <c r="C166" s="24">
        <v>89.384513326879201</v>
      </c>
      <c r="D166" s="24">
        <v>86.015447906857204</v>
      </c>
      <c r="E166" s="24">
        <v>74.557736391338693</v>
      </c>
      <c r="F166" s="24">
        <v>65.171995355516003</v>
      </c>
      <c r="G166" s="24">
        <v>62.8168455885043</v>
      </c>
      <c r="H166" s="24">
        <v>60.622870774133403</v>
      </c>
      <c r="I166" s="24">
        <v>55.4095347375073</v>
      </c>
      <c r="J166" s="24">
        <v>50.371431934790998</v>
      </c>
      <c r="K166" s="24">
        <v>45.443381976086698</v>
      </c>
      <c r="L166" s="24">
        <v>40.803157165916701</v>
      </c>
      <c r="M166" s="24">
        <v>37.5864191674236</v>
      </c>
      <c r="N166" s="24">
        <v>35.824496834478801</v>
      </c>
      <c r="O166" s="24">
        <v>34.090803252310202</v>
      </c>
      <c r="P166" s="24">
        <v>33.494949473294596</v>
      </c>
      <c r="Q166" s="24">
        <v>23.985687460222799</v>
      </c>
      <c r="R166" s="25">
        <v>7.6829770867939997</v>
      </c>
    </row>
    <row r="167" spans="1:18" x14ac:dyDescent="0.3">
      <c r="A167" s="18">
        <v>22.073578600000001</v>
      </c>
      <c r="B167" s="23">
        <v>136.997061065943</v>
      </c>
      <c r="C167" s="24">
        <v>89.529013408132599</v>
      </c>
      <c r="D167" s="24">
        <v>86.034763442863806</v>
      </c>
      <c r="E167" s="24">
        <v>74.635538442513393</v>
      </c>
      <c r="F167" s="24">
        <v>65.309720936956495</v>
      </c>
      <c r="G167" s="24">
        <v>62.959684890868701</v>
      </c>
      <c r="H167" s="24">
        <v>60.765151693482203</v>
      </c>
      <c r="I167" s="24">
        <v>55.565623729786701</v>
      </c>
      <c r="J167" s="24">
        <v>50.543050544133699</v>
      </c>
      <c r="K167" s="24">
        <v>45.634366622278201</v>
      </c>
      <c r="L167" s="24">
        <v>41.013941416930003</v>
      </c>
      <c r="M167" s="24">
        <v>37.8125351379691</v>
      </c>
      <c r="N167" s="24">
        <v>36.054759620069099</v>
      </c>
      <c r="O167" s="24">
        <v>34.324992784335301</v>
      </c>
      <c r="P167" s="24">
        <v>33.724195262731797</v>
      </c>
      <c r="Q167" s="24">
        <v>24.052068115025101</v>
      </c>
      <c r="R167" s="25">
        <v>7.6838893861037203</v>
      </c>
    </row>
    <row r="168" spans="1:18" x14ac:dyDescent="0.3">
      <c r="A168" s="18">
        <v>22.207357859999998</v>
      </c>
      <c r="B168" s="23">
        <v>137.0354310118</v>
      </c>
      <c r="C168" s="24">
        <v>89.673513489385996</v>
      </c>
      <c r="D168" s="24">
        <v>86.054078978870507</v>
      </c>
      <c r="E168" s="24">
        <v>74.713340493688094</v>
      </c>
      <c r="F168" s="24">
        <v>65.447446518397001</v>
      </c>
      <c r="G168" s="24">
        <v>63.102524193233002</v>
      </c>
      <c r="H168" s="24">
        <v>60.907432612830902</v>
      </c>
      <c r="I168" s="24">
        <v>55.721712722066101</v>
      </c>
      <c r="J168" s="24">
        <v>50.714669153476301</v>
      </c>
      <c r="K168" s="24">
        <v>45.825351268469802</v>
      </c>
      <c r="L168" s="24">
        <v>41.224725667943297</v>
      </c>
      <c r="M168" s="24">
        <v>38.0386511085146</v>
      </c>
      <c r="N168" s="24">
        <v>36.285022405659397</v>
      </c>
      <c r="O168" s="24">
        <v>34.5591823163603</v>
      </c>
      <c r="P168" s="24">
        <v>33.953441052168998</v>
      </c>
      <c r="Q168" s="24">
        <v>24.118448769827399</v>
      </c>
      <c r="R168" s="25">
        <v>7.68480168541344</v>
      </c>
    </row>
    <row r="169" spans="1:18" x14ac:dyDescent="0.3">
      <c r="A169" s="18">
        <v>22.341137119999999</v>
      </c>
      <c r="B169" s="23">
        <v>137.073800957657</v>
      </c>
      <c r="C169" s="24">
        <v>89.818013570639394</v>
      </c>
      <c r="D169" s="24">
        <v>86.073394514877094</v>
      </c>
      <c r="E169" s="24">
        <v>74.791142544862794</v>
      </c>
      <c r="F169" s="24">
        <v>65.585172099837493</v>
      </c>
      <c r="G169" s="24">
        <v>63.245363495597402</v>
      </c>
      <c r="H169" s="24">
        <v>61.049713532179702</v>
      </c>
      <c r="I169" s="24">
        <v>55.877801714345502</v>
      </c>
      <c r="J169" s="24">
        <v>50.886287762819002</v>
      </c>
      <c r="K169" s="24">
        <v>46.016335914661298</v>
      </c>
      <c r="L169" s="24">
        <v>41.435509918956697</v>
      </c>
      <c r="M169" s="24">
        <v>38.26476707906</v>
      </c>
      <c r="N169" s="24">
        <v>36.515285191249603</v>
      </c>
      <c r="O169" s="24">
        <v>34.793371848385398</v>
      </c>
      <c r="P169" s="24">
        <v>34.182686841606298</v>
      </c>
      <c r="Q169" s="24">
        <v>24.184829424629701</v>
      </c>
      <c r="R169" s="25">
        <v>7.6857139847231597</v>
      </c>
    </row>
    <row r="170" spans="1:18" x14ac:dyDescent="0.3">
      <c r="A170" s="18">
        <v>22.474916390000001</v>
      </c>
      <c r="B170" s="23">
        <v>137.112170903514</v>
      </c>
      <c r="C170" s="24">
        <v>89.962513651892806</v>
      </c>
      <c r="D170" s="24">
        <v>86.092710050883696</v>
      </c>
      <c r="E170" s="24">
        <v>74.868944596037593</v>
      </c>
      <c r="F170" s="24">
        <v>65.722897681277999</v>
      </c>
      <c r="G170" s="24">
        <v>63.388202797961803</v>
      </c>
      <c r="H170" s="24">
        <v>61.191994451528402</v>
      </c>
      <c r="I170" s="24">
        <v>56.033890706624902</v>
      </c>
      <c r="J170" s="24">
        <v>51.057906372161703</v>
      </c>
      <c r="K170" s="24">
        <v>46.207320560852899</v>
      </c>
      <c r="L170" s="24">
        <v>41.646294169969998</v>
      </c>
      <c r="M170" s="24">
        <v>38.4908830496055</v>
      </c>
      <c r="N170" s="24">
        <v>36.745547976839902</v>
      </c>
      <c r="O170" s="24">
        <v>35.027561380410397</v>
      </c>
      <c r="P170" s="24">
        <v>34.411932631043499</v>
      </c>
      <c r="Q170" s="24">
        <v>24.251210079431999</v>
      </c>
      <c r="R170" s="25">
        <v>7.6866262840328803</v>
      </c>
    </row>
    <row r="171" spans="1:18" x14ac:dyDescent="0.3">
      <c r="A171" s="18">
        <v>22.608695650000001</v>
      </c>
      <c r="B171" s="23">
        <v>137.150540849371</v>
      </c>
      <c r="C171" s="24">
        <v>90.107013733146104</v>
      </c>
      <c r="D171" s="24">
        <v>86.112025586890397</v>
      </c>
      <c r="E171" s="24">
        <v>74.946746647212294</v>
      </c>
      <c r="F171" s="24">
        <v>65.860623262718505</v>
      </c>
      <c r="G171" s="24">
        <v>63.531042100326097</v>
      </c>
      <c r="H171" s="24">
        <v>61.334275370877201</v>
      </c>
      <c r="I171" s="24">
        <v>56.189979698904303</v>
      </c>
      <c r="J171" s="24">
        <v>51.229524981504397</v>
      </c>
      <c r="K171" s="24">
        <v>46.398305207044501</v>
      </c>
      <c r="L171" s="24">
        <v>41.857078420983299</v>
      </c>
      <c r="M171" s="24">
        <v>38.716999020151</v>
      </c>
      <c r="N171" s="24">
        <v>36.9758107624301</v>
      </c>
      <c r="O171" s="24">
        <v>35.261750912435502</v>
      </c>
      <c r="P171" s="24">
        <v>34.641178420480699</v>
      </c>
      <c r="Q171" s="24">
        <v>24.317590734234301</v>
      </c>
      <c r="R171" s="25">
        <v>7.6875385833426</v>
      </c>
    </row>
    <row r="172" spans="1:18" x14ac:dyDescent="0.3">
      <c r="A172" s="18">
        <v>22.742474919999999</v>
      </c>
      <c r="B172" s="23">
        <v>137.188910795227</v>
      </c>
      <c r="C172" s="24">
        <v>90.251513814399502</v>
      </c>
      <c r="D172" s="24">
        <v>86.131341122896998</v>
      </c>
      <c r="E172" s="24">
        <v>75.024548698386994</v>
      </c>
      <c r="F172" s="24">
        <v>65.998348844158997</v>
      </c>
      <c r="G172" s="24">
        <v>63.673881402690498</v>
      </c>
      <c r="H172" s="24">
        <v>61.476556290226</v>
      </c>
      <c r="I172" s="24">
        <v>56.346068691183703</v>
      </c>
      <c r="J172" s="24">
        <v>51.401143590846999</v>
      </c>
      <c r="K172" s="24">
        <v>46.589289853235996</v>
      </c>
      <c r="L172" s="24">
        <v>42.0678626719966</v>
      </c>
      <c r="M172" s="24">
        <v>38.943114990696401</v>
      </c>
      <c r="N172" s="24">
        <v>37.206073548020399</v>
      </c>
      <c r="O172" s="24">
        <v>35.495940444460501</v>
      </c>
      <c r="P172" s="24">
        <v>34.870424209917999</v>
      </c>
      <c r="Q172" s="24">
        <v>24.383971389036699</v>
      </c>
      <c r="R172" s="25">
        <v>7.6884508826523197</v>
      </c>
    </row>
    <row r="173" spans="1:18" x14ac:dyDescent="0.3">
      <c r="A173" s="18">
        <v>22.87625418</v>
      </c>
      <c r="B173" s="23">
        <v>137.227280741084</v>
      </c>
      <c r="C173" s="24">
        <v>90.396013895652899</v>
      </c>
      <c r="D173" s="24">
        <v>86.1506566589036</v>
      </c>
      <c r="E173" s="24">
        <v>75.102350749561694</v>
      </c>
      <c r="F173" s="24">
        <v>66.136074425599503</v>
      </c>
      <c r="G173" s="24">
        <v>63.816720705054898</v>
      </c>
      <c r="H173" s="24">
        <v>61.6188372095747</v>
      </c>
      <c r="I173" s="24">
        <v>56.502157683462997</v>
      </c>
      <c r="J173" s="24">
        <v>51.5727622001897</v>
      </c>
      <c r="K173" s="24">
        <v>46.780274499427598</v>
      </c>
      <c r="L173" s="24">
        <v>42.278646923010001</v>
      </c>
      <c r="M173" s="24">
        <v>39.169230961241901</v>
      </c>
      <c r="N173" s="24">
        <v>37.436336333610697</v>
      </c>
      <c r="O173" s="24">
        <v>35.7301299764856</v>
      </c>
      <c r="P173" s="24">
        <v>35.0996699993552</v>
      </c>
      <c r="Q173" s="24">
        <v>24.450352043839001</v>
      </c>
      <c r="R173" s="25">
        <v>7.6893631819620296</v>
      </c>
    </row>
    <row r="174" spans="1:18" x14ac:dyDescent="0.3">
      <c r="A174" s="18">
        <v>23.010033440000001</v>
      </c>
      <c r="B174" s="23">
        <v>137.265650686941</v>
      </c>
      <c r="C174" s="24">
        <v>90.540513976906297</v>
      </c>
      <c r="D174" s="24">
        <v>86.169972194910201</v>
      </c>
      <c r="E174" s="24">
        <v>75.180152800736394</v>
      </c>
      <c r="F174" s="24">
        <v>66.273800007039995</v>
      </c>
      <c r="G174" s="24">
        <v>63.959560007419199</v>
      </c>
      <c r="H174" s="24">
        <v>61.761118128923499</v>
      </c>
      <c r="I174" s="24">
        <v>56.658246675742397</v>
      </c>
      <c r="J174" s="24">
        <v>51.744380809532402</v>
      </c>
      <c r="K174" s="24">
        <v>46.971259145619101</v>
      </c>
      <c r="L174" s="24">
        <v>42.489431174023302</v>
      </c>
      <c r="M174" s="24">
        <v>39.395346931787401</v>
      </c>
      <c r="N174" s="24">
        <v>37.666599119200903</v>
      </c>
      <c r="O174" s="24">
        <v>35.964319508510599</v>
      </c>
      <c r="P174" s="24">
        <v>35.328915788792401</v>
      </c>
      <c r="Q174" s="24">
        <v>24.516732698641299</v>
      </c>
      <c r="R174" s="25">
        <v>7.6902754812717502</v>
      </c>
    </row>
    <row r="175" spans="1:18" x14ac:dyDescent="0.3">
      <c r="A175" s="18">
        <v>23.143812709999999</v>
      </c>
      <c r="B175" s="23">
        <v>137.304020632798</v>
      </c>
      <c r="C175" s="24">
        <v>90.685014058159695</v>
      </c>
      <c r="D175" s="24">
        <v>86.189287730916902</v>
      </c>
      <c r="E175" s="24">
        <v>75.257954851911194</v>
      </c>
      <c r="F175" s="24">
        <v>66.411525588480501</v>
      </c>
      <c r="G175" s="24">
        <v>64.102399309783607</v>
      </c>
      <c r="H175" s="24">
        <v>61.903399048272199</v>
      </c>
      <c r="I175" s="24">
        <v>56.814335668021798</v>
      </c>
      <c r="J175" s="24">
        <v>51.915999418875003</v>
      </c>
      <c r="K175" s="24">
        <v>47.162243791810702</v>
      </c>
      <c r="L175" s="24">
        <v>42.700215425036603</v>
      </c>
      <c r="M175" s="24">
        <v>39.621462902332901</v>
      </c>
      <c r="N175" s="24">
        <v>37.896861904791201</v>
      </c>
      <c r="O175" s="24">
        <v>36.198509040535697</v>
      </c>
      <c r="P175" s="24">
        <v>35.558161578229701</v>
      </c>
      <c r="Q175" s="24">
        <v>24.583113353443601</v>
      </c>
      <c r="R175" s="25">
        <v>7.6911877805814699</v>
      </c>
    </row>
    <row r="176" spans="1:18" x14ac:dyDescent="0.3">
      <c r="A176" s="18">
        <v>23.27759197</v>
      </c>
      <c r="B176" s="23">
        <v>137.342390578655</v>
      </c>
      <c r="C176" s="24">
        <v>90.829514139413007</v>
      </c>
      <c r="D176" s="24">
        <v>86.208603266923504</v>
      </c>
      <c r="E176" s="24">
        <v>75.335756903085894</v>
      </c>
      <c r="F176" s="24">
        <v>66.549251169921007</v>
      </c>
      <c r="G176" s="24">
        <v>64.245238612148</v>
      </c>
      <c r="H176" s="24">
        <v>62.045679967620998</v>
      </c>
      <c r="I176" s="24">
        <v>56.970424660301198</v>
      </c>
      <c r="J176" s="24">
        <v>52.087618028217697</v>
      </c>
      <c r="K176" s="24">
        <v>47.353228438002297</v>
      </c>
      <c r="L176" s="24">
        <v>42.910999676049897</v>
      </c>
      <c r="M176" s="24">
        <v>39.847578872878302</v>
      </c>
      <c r="N176" s="24">
        <v>38.1271246903814</v>
      </c>
      <c r="O176" s="24">
        <v>36.432698572560703</v>
      </c>
      <c r="P176" s="24">
        <v>35.787407367666901</v>
      </c>
      <c r="Q176" s="24">
        <v>24.649494008245899</v>
      </c>
      <c r="R176" s="25">
        <v>7.6921000798911896</v>
      </c>
    </row>
    <row r="177" spans="1:18" x14ac:dyDescent="0.3">
      <c r="A177" s="18">
        <v>23.411371240000001</v>
      </c>
      <c r="B177" s="23">
        <v>137.380760524512</v>
      </c>
      <c r="C177" s="24">
        <v>90.974014220666405</v>
      </c>
      <c r="D177" s="24">
        <v>86.227918802930105</v>
      </c>
      <c r="E177" s="24">
        <v>75.413558954260594</v>
      </c>
      <c r="F177" s="24">
        <v>66.686976751361499</v>
      </c>
      <c r="G177" s="24">
        <v>64.388077914512294</v>
      </c>
      <c r="H177" s="24">
        <v>62.187960886969698</v>
      </c>
      <c r="I177" s="24">
        <v>57.126513652580599</v>
      </c>
      <c r="J177" s="24">
        <v>52.259236637560399</v>
      </c>
      <c r="K177" s="24">
        <v>47.5442130841938</v>
      </c>
      <c r="L177" s="24">
        <v>43.121783927063198</v>
      </c>
      <c r="M177" s="24">
        <v>40.073694843423802</v>
      </c>
      <c r="N177" s="24">
        <v>38.357387475971699</v>
      </c>
      <c r="O177" s="24">
        <v>36.666888104585801</v>
      </c>
      <c r="P177" s="24">
        <v>36.016653157104102</v>
      </c>
      <c r="Q177" s="24">
        <v>24.715874663048201</v>
      </c>
      <c r="R177" s="25">
        <v>7.6930123792009102</v>
      </c>
    </row>
    <row r="178" spans="1:18" x14ac:dyDescent="0.3">
      <c r="A178" s="18">
        <v>23.545150499999998</v>
      </c>
      <c r="B178" s="23">
        <v>137.419130470369</v>
      </c>
      <c r="C178" s="24">
        <v>91.118514301919802</v>
      </c>
      <c r="D178" s="24">
        <v>86.247234338936707</v>
      </c>
      <c r="E178" s="24">
        <v>75.491361005435294</v>
      </c>
      <c r="F178" s="24">
        <v>66.824702332802005</v>
      </c>
      <c r="G178" s="24">
        <v>64.530917216876702</v>
      </c>
      <c r="H178" s="24">
        <v>62.330241806318497</v>
      </c>
      <c r="I178" s="24">
        <v>57.282602644859999</v>
      </c>
      <c r="J178" s="24">
        <v>52.430855246903</v>
      </c>
      <c r="K178" s="24">
        <v>47.735197730385401</v>
      </c>
      <c r="L178" s="24">
        <v>43.332568178076599</v>
      </c>
      <c r="M178" s="24">
        <v>40.299810813969302</v>
      </c>
      <c r="N178" s="24">
        <v>38.587650261561997</v>
      </c>
      <c r="O178" s="24">
        <v>36.9010776366109</v>
      </c>
      <c r="P178" s="24">
        <v>36.245898946541402</v>
      </c>
      <c r="Q178" s="24">
        <v>24.782255317850598</v>
      </c>
      <c r="R178" s="25">
        <v>7.6939246785106299</v>
      </c>
    </row>
    <row r="179" spans="1:18" x14ac:dyDescent="0.3">
      <c r="A179" s="18">
        <v>23.67892977</v>
      </c>
      <c r="B179" s="23">
        <v>137.457500416225</v>
      </c>
      <c r="C179" s="24">
        <v>91.2630143831732</v>
      </c>
      <c r="D179" s="24">
        <v>86.266549874943394</v>
      </c>
      <c r="E179" s="24">
        <v>75.569163056610094</v>
      </c>
      <c r="F179" s="24">
        <v>66.962427914242497</v>
      </c>
      <c r="G179" s="24">
        <v>64.673756519241095</v>
      </c>
      <c r="H179" s="24">
        <v>62.472522725667197</v>
      </c>
      <c r="I179" s="24">
        <v>57.438691637139399</v>
      </c>
      <c r="J179" s="24">
        <v>52.602473856245702</v>
      </c>
      <c r="K179" s="24">
        <v>47.926182376577003</v>
      </c>
      <c r="L179" s="24">
        <v>43.5433524290899</v>
      </c>
      <c r="M179" s="24">
        <v>40.525926784514702</v>
      </c>
      <c r="N179" s="24">
        <v>38.817913047152203</v>
      </c>
      <c r="O179" s="24">
        <v>37.135267168635899</v>
      </c>
      <c r="P179" s="24">
        <v>36.475144735978603</v>
      </c>
      <c r="Q179" s="24">
        <v>24.8486359726529</v>
      </c>
      <c r="R179" s="25">
        <v>7.6948369778203496</v>
      </c>
    </row>
    <row r="180" spans="1:18" x14ac:dyDescent="0.3">
      <c r="A180" s="18">
        <v>23.812709030000001</v>
      </c>
      <c r="B180" s="23">
        <v>137.495870362082</v>
      </c>
      <c r="C180" s="24">
        <v>91.407514464426498</v>
      </c>
      <c r="D180" s="24">
        <v>86.285865410949995</v>
      </c>
      <c r="E180" s="24">
        <v>75.646965107784794</v>
      </c>
      <c r="F180" s="24">
        <v>67.100153495683003</v>
      </c>
      <c r="G180" s="24">
        <v>64.816595821605404</v>
      </c>
      <c r="H180" s="24">
        <v>62.614803645016003</v>
      </c>
      <c r="I180" s="24">
        <v>57.5947806294188</v>
      </c>
      <c r="J180" s="24">
        <v>52.774092465588403</v>
      </c>
      <c r="K180" s="24">
        <v>48.117167022768498</v>
      </c>
      <c r="L180" s="24">
        <v>43.754136680103201</v>
      </c>
      <c r="M180" s="24">
        <v>40.752042755060202</v>
      </c>
      <c r="N180" s="24">
        <v>39.048175832742501</v>
      </c>
      <c r="O180" s="24">
        <v>37.369456700660997</v>
      </c>
      <c r="P180" s="24">
        <v>36.704390525415803</v>
      </c>
      <c r="Q180" s="24">
        <v>24.915016627455199</v>
      </c>
      <c r="R180" s="25">
        <v>7.6957492771300702</v>
      </c>
    </row>
    <row r="181" spans="1:18" x14ac:dyDescent="0.3">
      <c r="A181" s="18">
        <v>23.946488290000001</v>
      </c>
      <c r="B181" s="23">
        <v>137.534240307939</v>
      </c>
      <c r="C181" s="24">
        <v>91.552014545679896</v>
      </c>
      <c r="D181" s="24">
        <v>86.305180946956597</v>
      </c>
      <c r="E181" s="24">
        <v>75.724767158959494</v>
      </c>
      <c r="F181" s="24">
        <v>67.237879077123495</v>
      </c>
      <c r="G181" s="24">
        <v>64.959435123969797</v>
      </c>
      <c r="H181" s="24">
        <v>62.757084564364703</v>
      </c>
      <c r="I181" s="24">
        <v>57.750869621698101</v>
      </c>
      <c r="J181" s="24">
        <v>52.945711074930998</v>
      </c>
      <c r="K181" s="24">
        <v>48.3081516689601</v>
      </c>
      <c r="L181" s="24">
        <v>43.964920931116502</v>
      </c>
      <c r="M181" s="24">
        <v>40.978158725605702</v>
      </c>
      <c r="N181" s="24">
        <v>39.2784386183328</v>
      </c>
      <c r="O181" s="24">
        <v>37.603646232686003</v>
      </c>
      <c r="P181" s="24">
        <v>36.933636314853103</v>
      </c>
      <c r="Q181" s="24">
        <v>24.9813972822575</v>
      </c>
      <c r="R181" s="25">
        <v>7.6966615764397899</v>
      </c>
    </row>
    <row r="182" spans="1:18" x14ac:dyDescent="0.3">
      <c r="A182" s="18">
        <v>24.080267559999999</v>
      </c>
      <c r="B182" s="23">
        <v>137.572610253796</v>
      </c>
      <c r="C182" s="24">
        <v>91.696514626933293</v>
      </c>
      <c r="D182" s="24">
        <v>86.324496482963298</v>
      </c>
      <c r="E182" s="24">
        <v>75.802569210134195</v>
      </c>
      <c r="F182" s="24">
        <v>67.375604658564001</v>
      </c>
      <c r="G182" s="24">
        <v>65.102274426334205</v>
      </c>
      <c r="H182" s="24">
        <v>62.899365483713503</v>
      </c>
      <c r="I182" s="24">
        <v>57.906958613977501</v>
      </c>
      <c r="J182" s="24">
        <v>53.117329684273699</v>
      </c>
      <c r="K182" s="24">
        <v>48.499136315151603</v>
      </c>
      <c r="L182" s="24">
        <v>44.175705182129903</v>
      </c>
      <c r="M182" s="24">
        <v>41.204274696151202</v>
      </c>
      <c r="N182" s="24">
        <v>39.508701403922998</v>
      </c>
      <c r="O182" s="24">
        <v>37.837835764711102</v>
      </c>
      <c r="P182" s="24">
        <v>37.162882104290297</v>
      </c>
      <c r="Q182" s="24">
        <v>25.047777937059799</v>
      </c>
      <c r="R182" s="25">
        <v>7.6975738757495096</v>
      </c>
    </row>
    <row r="183" spans="1:18" x14ac:dyDescent="0.3">
      <c r="A183" s="18">
        <v>24.21404682</v>
      </c>
      <c r="B183" s="23">
        <v>137.610980199653</v>
      </c>
      <c r="C183" s="24">
        <v>91.841014708186705</v>
      </c>
      <c r="D183" s="24">
        <v>86.343812018969899</v>
      </c>
      <c r="E183" s="24">
        <v>75.880371261308994</v>
      </c>
      <c r="F183" s="24">
        <v>67.513330240004507</v>
      </c>
      <c r="G183" s="24">
        <v>65.245113728698499</v>
      </c>
      <c r="H183" s="24">
        <v>63.041646403062302</v>
      </c>
      <c r="I183" s="24">
        <v>58.063047606256902</v>
      </c>
      <c r="J183" s="24">
        <v>53.2889482936164</v>
      </c>
      <c r="K183" s="24">
        <v>48.690120961343197</v>
      </c>
      <c r="L183" s="24">
        <v>44.386489433143197</v>
      </c>
      <c r="M183" s="24">
        <v>41.430390666696603</v>
      </c>
      <c r="N183" s="24">
        <v>39.738964189513297</v>
      </c>
      <c r="O183" s="24">
        <v>38.072025296736101</v>
      </c>
      <c r="P183" s="24">
        <v>37.392127893727597</v>
      </c>
      <c r="Q183" s="24">
        <v>25.1141585918621</v>
      </c>
      <c r="R183" s="25">
        <v>7.6984861750592302</v>
      </c>
    </row>
    <row r="184" spans="1:18" x14ac:dyDescent="0.3">
      <c r="A184" s="18">
        <v>24.347826090000002</v>
      </c>
      <c r="B184" s="23">
        <v>137.64935014551</v>
      </c>
      <c r="C184" s="24">
        <v>91.985514789440103</v>
      </c>
      <c r="D184" s="24">
        <v>86.363127554976501</v>
      </c>
      <c r="E184" s="24">
        <v>75.958173312483694</v>
      </c>
      <c r="F184" s="24">
        <v>67.651055821444999</v>
      </c>
      <c r="G184" s="24">
        <v>65.387953031062906</v>
      </c>
      <c r="H184" s="24">
        <v>63.183927322411002</v>
      </c>
      <c r="I184" s="24">
        <v>58.219136598536302</v>
      </c>
      <c r="J184" s="24">
        <v>53.460566902959002</v>
      </c>
      <c r="K184" s="24">
        <v>48.881105607534799</v>
      </c>
      <c r="L184" s="24">
        <v>44.597273684156498</v>
      </c>
      <c r="M184" s="24">
        <v>41.656506637242103</v>
      </c>
      <c r="N184" s="24">
        <v>39.969226975103503</v>
      </c>
      <c r="O184" s="24">
        <v>38.306214828761199</v>
      </c>
      <c r="P184" s="24">
        <v>37.621373683164798</v>
      </c>
      <c r="Q184" s="24">
        <v>25.180539246664399</v>
      </c>
      <c r="R184" s="25">
        <v>7.6993984743689499</v>
      </c>
    </row>
    <row r="185" spans="1:18" x14ac:dyDescent="0.3">
      <c r="A185" s="18">
        <v>24.481605349999999</v>
      </c>
      <c r="B185" s="23">
        <v>137.687720091366</v>
      </c>
      <c r="C185" s="24">
        <v>92.130014870693401</v>
      </c>
      <c r="D185" s="24">
        <v>86.382443090983102</v>
      </c>
      <c r="E185" s="24">
        <v>76.035975363658395</v>
      </c>
      <c r="F185" s="24">
        <v>67.788781402885505</v>
      </c>
      <c r="G185" s="24">
        <v>65.5307923334273</v>
      </c>
      <c r="H185" s="24">
        <v>63.326208241759801</v>
      </c>
      <c r="I185" s="24">
        <v>58.375225590815703</v>
      </c>
      <c r="J185" s="24">
        <v>53.632185512301703</v>
      </c>
      <c r="K185" s="24">
        <v>49.072090253726302</v>
      </c>
      <c r="L185" s="24">
        <v>44.808057935169799</v>
      </c>
      <c r="M185" s="24">
        <v>41.882622607787603</v>
      </c>
      <c r="N185" s="24">
        <v>40.199489760693801</v>
      </c>
      <c r="O185" s="24">
        <v>38.540404360786198</v>
      </c>
      <c r="P185" s="24">
        <v>37.850619472601998</v>
      </c>
      <c r="Q185" s="24">
        <v>25.2469199014668</v>
      </c>
      <c r="R185" s="25">
        <v>7.7003107736786696</v>
      </c>
    </row>
    <row r="186" spans="1:18" x14ac:dyDescent="0.3">
      <c r="A186" s="18">
        <v>24.61538462</v>
      </c>
      <c r="B186" s="23">
        <v>137.726090037223</v>
      </c>
      <c r="C186" s="24">
        <v>92.274514951946799</v>
      </c>
      <c r="D186" s="24">
        <v>86.401758626989803</v>
      </c>
      <c r="E186" s="24">
        <v>76.113777414833095</v>
      </c>
      <c r="F186" s="24">
        <v>67.926506984325997</v>
      </c>
      <c r="G186" s="24">
        <v>65.673631635791594</v>
      </c>
      <c r="H186" s="24">
        <v>63.468489161108501</v>
      </c>
      <c r="I186" s="24">
        <v>58.531314583095103</v>
      </c>
      <c r="J186" s="24">
        <v>53.803804121644397</v>
      </c>
      <c r="K186" s="24">
        <v>49.263074899917903</v>
      </c>
      <c r="L186" s="24">
        <v>45.0188421861832</v>
      </c>
      <c r="M186" s="24">
        <v>42.108738578333003</v>
      </c>
      <c r="N186" s="24">
        <v>40.429752546284099</v>
      </c>
      <c r="O186" s="24">
        <v>38.774593892811303</v>
      </c>
      <c r="P186" s="24">
        <v>38.079865262039299</v>
      </c>
      <c r="Q186" s="24">
        <v>25.313300556269098</v>
      </c>
      <c r="R186" s="25">
        <v>7.7012230729883902</v>
      </c>
    </row>
    <row r="187" spans="1:18" x14ac:dyDescent="0.3">
      <c r="A187" s="18">
        <v>24.749163880000001</v>
      </c>
      <c r="B187" s="23">
        <v>137.76445998308</v>
      </c>
      <c r="C187" s="24">
        <v>92.419015033200196</v>
      </c>
      <c r="D187" s="24">
        <v>86.421074162996405</v>
      </c>
      <c r="E187" s="24">
        <v>76.191579466007894</v>
      </c>
      <c r="F187" s="24">
        <v>68.064232565766503</v>
      </c>
      <c r="G187" s="24">
        <v>65.816470938156002</v>
      </c>
      <c r="H187" s="24">
        <v>63.6107700804573</v>
      </c>
      <c r="I187" s="24">
        <v>58.687403575374503</v>
      </c>
      <c r="J187" s="24">
        <v>53.975422730986999</v>
      </c>
      <c r="K187" s="24">
        <v>49.454059546109399</v>
      </c>
      <c r="L187" s="24">
        <v>45.229626437196501</v>
      </c>
      <c r="M187" s="24">
        <v>42.334854548878504</v>
      </c>
      <c r="N187" s="24">
        <v>40.660015331874298</v>
      </c>
      <c r="O187" s="24">
        <v>39.008783424836302</v>
      </c>
      <c r="P187" s="24">
        <v>38.309111051476499</v>
      </c>
      <c r="Q187" s="24">
        <v>25.3796812110714</v>
      </c>
      <c r="R187" s="25">
        <v>7.7021353722981098</v>
      </c>
    </row>
    <row r="188" spans="1:18" x14ac:dyDescent="0.3">
      <c r="A188" s="18">
        <v>24.882943139999998</v>
      </c>
      <c r="B188" s="23">
        <v>137.802829928937</v>
      </c>
      <c r="C188" s="24">
        <v>92.563515114453594</v>
      </c>
      <c r="D188" s="24">
        <v>86.440389699003006</v>
      </c>
      <c r="E188" s="24">
        <v>76.269381517182595</v>
      </c>
      <c r="F188" s="24">
        <v>68.201958147206994</v>
      </c>
      <c r="G188" s="24">
        <v>65.959310240520395</v>
      </c>
      <c r="H188" s="24">
        <v>63.753050999806</v>
      </c>
      <c r="I188" s="24">
        <v>58.843492567653897</v>
      </c>
      <c r="J188" s="24">
        <v>54.1470413403297</v>
      </c>
      <c r="K188" s="24">
        <v>49.645044192301</v>
      </c>
      <c r="L188" s="24">
        <v>45.440410688209802</v>
      </c>
      <c r="M188" s="24">
        <v>42.560970519423996</v>
      </c>
      <c r="N188" s="24">
        <v>40.890278117464597</v>
      </c>
      <c r="O188" s="24">
        <v>39.242972956861401</v>
      </c>
      <c r="P188" s="24">
        <v>38.5383568409137</v>
      </c>
      <c r="Q188" s="24">
        <v>25.446061865873698</v>
      </c>
      <c r="R188" s="25">
        <v>7.7030476716078304</v>
      </c>
    </row>
    <row r="189" spans="1:18" x14ac:dyDescent="0.3">
      <c r="A189" s="18">
        <v>25.01672241</v>
      </c>
      <c r="B189" s="23">
        <v>137.841199874794</v>
      </c>
      <c r="C189" s="24">
        <v>92.708015195706906</v>
      </c>
      <c r="D189" s="24">
        <v>86.459705235009594</v>
      </c>
      <c r="E189" s="24">
        <v>76.347183568357295</v>
      </c>
      <c r="F189" s="24">
        <v>68.339683728647501</v>
      </c>
      <c r="G189" s="24">
        <v>66.102149542884703</v>
      </c>
      <c r="H189" s="24">
        <v>63.895331919154799</v>
      </c>
      <c r="I189" s="24">
        <v>58.999581559933198</v>
      </c>
      <c r="J189" s="24">
        <v>54.318659949672401</v>
      </c>
      <c r="K189" s="24">
        <v>49.836028838492602</v>
      </c>
      <c r="L189" s="24">
        <v>45.651194939223103</v>
      </c>
      <c r="M189" s="24">
        <v>42.787086489969496</v>
      </c>
      <c r="N189" s="24">
        <v>41.120540903054803</v>
      </c>
      <c r="O189" s="24">
        <v>39.4771624888864</v>
      </c>
      <c r="P189" s="24">
        <v>38.767602630351</v>
      </c>
      <c r="Q189" s="24">
        <v>25.512442520676</v>
      </c>
      <c r="R189" s="25">
        <v>7.7039599709175501</v>
      </c>
    </row>
    <row r="190" spans="1:18" x14ac:dyDescent="0.3">
      <c r="A190" s="18">
        <v>25.150501670000001</v>
      </c>
      <c r="B190" s="23">
        <v>137.879569820651</v>
      </c>
      <c r="C190" s="24">
        <v>92.852515276960304</v>
      </c>
      <c r="D190" s="24">
        <v>86.479020771016295</v>
      </c>
      <c r="E190" s="24">
        <v>76.424985619531995</v>
      </c>
      <c r="F190" s="24">
        <v>68.477409310088007</v>
      </c>
      <c r="G190" s="24">
        <v>66.244988845249097</v>
      </c>
      <c r="H190" s="24">
        <v>64.037612838503506</v>
      </c>
      <c r="I190" s="24">
        <v>59.155670552212598</v>
      </c>
      <c r="J190" s="24">
        <v>54.490278559015003</v>
      </c>
      <c r="K190" s="24">
        <v>50.027013484684097</v>
      </c>
      <c r="L190" s="24">
        <v>45.861979190236497</v>
      </c>
      <c r="M190" s="24">
        <v>43.013202460514897</v>
      </c>
      <c r="N190" s="24">
        <v>41.350803688645101</v>
      </c>
      <c r="O190" s="24">
        <v>39.711352020911498</v>
      </c>
      <c r="P190" s="24">
        <v>38.996848419788201</v>
      </c>
      <c r="Q190" s="24">
        <v>25.578823175478298</v>
      </c>
      <c r="R190" s="25">
        <v>7.7048722702272698</v>
      </c>
    </row>
    <row r="191" spans="1:18" x14ac:dyDescent="0.3">
      <c r="A191" s="18">
        <v>25.284280939999999</v>
      </c>
      <c r="B191" s="23">
        <v>137.917939766508</v>
      </c>
      <c r="C191" s="24">
        <v>92.997015358213702</v>
      </c>
      <c r="D191" s="24">
        <v>86.498336307022896</v>
      </c>
      <c r="E191" s="24">
        <v>76.502787670706795</v>
      </c>
      <c r="F191" s="24">
        <v>68.615134891528498</v>
      </c>
      <c r="G191" s="24">
        <v>66.387828147613405</v>
      </c>
      <c r="H191" s="24">
        <v>64.179893757852298</v>
      </c>
      <c r="I191" s="24">
        <v>59.311759544491998</v>
      </c>
      <c r="J191" s="24">
        <v>54.661897168357697</v>
      </c>
      <c r="K191" s="24">
        <v>50.217998130875699</v>
      </c>
      <c r="L191" s="24">
        <v>46.072763441249798</v>
      </c>
      <c r="M191" s="24">
        <v>43.239318431060397</v>
      </c>
      <c r="N191" s="24">
        <v>41.581066474235399</v>
      </c>
      <c r="O191" s="24">
        <v>39.945541552936596</v>
      </c>
      <c r="P191" s="24">
        <v>39.226094209225401</v>
      </c>
      <c r="Q191" s="24">
        <v>25.6452038302806</v>
      </c>
      <c r="R191" s="25">
        <v>7.7057845695369904</v>
      </c>
    </row>
    <row r="192" spans="1:18" x14ac:dyDescent="0.3">
      <c r="A192" s="18">
        <v>25.418060199999999</v>
      </c>
      <c r="B192" s="23">
        <v>137.956309712364</v>
      </c>
      <c r="C192" s="24">
        <v>93.141515439467099</v>
      </c>
      <c r="D192" s="24">
        <v>86.517651843029498</v>
      </c>
      <c r="E192" s="24">
        <v>76.580589721881495</v>
      </c>
      <c r="F192" s="24">
        <v>68.752860472969004</v>
      </c>
      <c r="G192" s="24">
        <v>66.530667449977798</v>
      </c>
      <c r="H192" s="24">
        <v>64.322174677201005</v>
      </c>
      <c r="I192" s="24">
        <v>59.467848536771399</v>
      </c>
      <c r="J192" s="24">
        <v>54.833515777700399</v>
      </c>
      <c r="K192" s="24">
        <v>50.408982777067202</v>
      </c>
      <c r="L192" s="24">
        <v>46.283547692263099</v>
      </c>
      <c r="M192" s="24">
        <v>43.465434401605897</v>
      </c>
      <c r="N192" s="24">
        <v>41.811329259825598</v>
      </c>
      <c r="O192" s="24">
        <v>40.179731084961603</v>
      </c>
      <c r="P192" s="24">
        <v>39.455339998662701</v>
      </c>
      <c r="Q192" s="24">
        <v>25.711584485083002</v>
      </c>
      <c r="R192" s="25">
        <v>7.7066968688467101</v>
      </c>
    </row>
    <row r="193" spans="1:18" x14ac:dyDescent="0.3">
      <c r="A193" s="18">
        <v>25.55183946</v>
      </c>
      <c r="B193" s="23">
        <v>137.994679658221</v>
      </c>
      <c r="C193" s="24">
        <v>93.286015520720497</v>
      </c>
      <c r="D193" s="24">
        <v>86.536967379036199</v>
      </c>
      <c r="E193" s="24">
        <v>76.658391773056195</v>
      </c>
      <c r="F193" s="24">
        <v>68.890586054409496</v>
      </c>
      <c r="G193" s="24">
        <v>66.673506752342206</v>
      </c>
      <c r="H193" s="24">
        <v>64.464455596549797</v>
      </c>
      <c r="I193" s="24">
        <v>59.623937529050799</v>
      </c>
      <c r="J193" s="24">
        <v>55.0051343870431</v>
      </c>
      <c r="K193" s="24">
        <v>50.599967423258803</v>
      </c>
      <c r="L193" s="24">
        <v>46.4943319432764</v>
      </c>
      <c r="M193" s="24">
        <v>43.691550372151397</v>
      </c>
      <c r="N193" s="24">
        <v>42.041592045415896</v>
      </c>
      <c r="O193" s="24">
        <v>40.413920616986701</v>
      </c>
      <c r="P193" s="24">
        <v>39.684585788099902</v>
      </c>
      <c r="Q193" s="24">
        <v>25.7779651398853</v>
      </c>
      <c r="R193" s="25">
        <v>7.7076091681564298</v>
      </c>
    </row>
    <row r="194" spans="1:18" x14ac:dyDescent="0.3">
      <c r="A194" s="18">
        <v>25.685618730000002</v>
      </c>
      <c r="B194" s="23">
        <v>138.033049604078</v>
      </c>
      <c r="C194" s="24">
        <v>93.430515601973795</v>
      </c>
      <c r="D194" s="24">
        <v>86.5562829150428</v>
      </c>
      <c r="E194" s="24">
        <v>76.736193824230895</v>
      </c>
      <c r="F194" s="24">
        <v>69.028311635850002</v>
      </c>
      <c r="G194" s="24">
        <v>66.8163460547065</v>
      </c>
      <c r="H194" s="24">
        <v>64.606736515898604</v>
      </c>
      <c r="I194" s="24">
        <v>59.7800265213302</v>
      </c>
      <c r="J194" s="24">
        <v>55.176752996385702</v>
      </c>
      <c r="K194" s="24">
        <v>50.790952069450398</v>
      </c>
      <c r="L194" s="24">
        <v>46.705116194289701</v>
      </c>
      <c r="M194" s="24">
        <v>43.917666342696798</v>
      </c>
      <c r="N194" s="24">
        <v>42.271854831006202</v>
      </c>
      <c r="O194" s="24">
        <v>40.6481101490117</v>
      </c>
      <c r="P194" s="24">
        <v>39.913831577537103</v>
      </c>
      <c r="Q194" s="24">
        <v>25.844345794687602</v>
      </c>
      <c r="R194" s="25">
        <v>7.7085214674661398</v>
      </c>
    </row>
    <row r="195" spans="1:18" x14ac:dyDescent="0.3">
      <c r="A195" s="18">
        <v>25.819397989999999</v>
      </c>
      <c r="B195" s="23">
        <v>138.071419549935</v>
      </c>
      <c r="C195" s="24">
        <v>93.575015683227207</v>
      </c>
      <c r="D195" s="24">
        <v>86.575598451049402</v>
      </c>
      <c r="E195" s="24">
        <v>76.813995875405595</v>
      </c>
      <c r="F195" s="24">
        <v>69.166037217290494</v>
      </c>
      <c r="G195" s="24">
        <v>66.959185357070893</v>
      </c>
      <c r="H195" s="24">
        <v>64.749017435247296</v>
      </c>
      <c r="I195" s="24">
        <v>59.9361155136096</v>
      </c>
      <c r="J195" s="24">
        <v>55.348371605728403</v>
      </c>
      <c r="K195" s="24">
        <v>50.981936715641901</v>
      </c>
      <c r="L195" s="24">
        <v>46.915900445303102</v>
      </c>
      <c r="M195" s="24">
        <v>44.143782313242298</v>
      </c>
      <c r="N195" s="24">
        <v>42.502117616596401</v>
      </c>
      <c r="O195" s="24">
        <v>40.882299681036798</v>
      </c>
      <c r="P195" s="24">
        <v>40.143077366974403</v>
      </c>
      <c r="Q195" s="24">
        <v>25.9107264494899</v>
      </c>
      <c r="R195" s="25">
        <v>7.7094337667758603</v>
      </c>
    </row>
    <row r="196" spans="1:18" x14ac:dyDescent="0.3">
      <c r="A196" s="18">
        <v>25.95317726</v>
      </c>
      <c r="B196" s="23">
        <v>138.109789495792</v>
      </c>
      <c r="C196" s="24">
        <v>93.719515764480605</v>
      </c>
      <c r="D196" s="24">
        <v>86.594913987056003</v>
      </c>
      <c r="E196" s="24">
        <v>76.891797926580395</v>
      </c>
      <c r="F196" s="24">
        <v>69.303762798731</v>
      </c>
      <c r="G196" s="24">
        <v>67.102024659435301</v>
      </c>
      <c r="H196" s="24">
        <v>64.891298354596103</v>
      </c>
      <c r="I196" s="24">
        <v>60.092204505889001</v>
      </c>
      <c r="J196" s="24">
        <v>55.519990215071097</v>
      </c>
      <c r="K196" s="24">
        <v>51.172921361833502</v>
      </c>
      <c r="L196" s="24">
        <v>47.126684696316403</v>
      </c>
      <c r="M196" s="24">
        <v>44.369898283787798</v>
      </c>
      <c r="N196" s="24">
        <v>42.732380402186699</v>
      </c>
      <c r="O196" s="24">
        <v>41.116489213061797</v>
      </c>
      <c r="P196" s="24">
        <v>40.372323156411603</v>
      </c>
      <c r="Q196" s="24">
        <v>25.977107104292202</v>
      </c>
      <c r="R196" s="25">
        <v>7.71034606608558</v>
      </c>
    </row>
    <row r="197" spans="1:18" x14ac:dyDescent="0.3">
      <c r="A197" s="18">
        <v>26.086956520000001</v>
      </c>
      <c r="B197" s="23">
        <v>138.148159441649</v>
      </c>
      <c r="C197" s="24">
        <v>93.864015845734002</v>
      </c>
      <c r="D197" s="24">
        <v>86.614229523062704</v>
      </c>
      <c r="E197" s="24">
        <v>76.969599977755095</v>
      </c>
      <c r="F197" s="24">
        <v>69.441488380171506</v>
      </c>
      <c r="G197" s="24">
        <v>67.244863961799595</v>
      </c>
      <c r="H197" s="24">
        <v>65.033579273944795</v>
      </c>
      <c r="I197" s="24">
        <v>60.248293498168302</v>
      </c>
      <c r="J197" s="24">
        <v>55.691608824413699</v>
      </c>
      <c r="K197" s="24">
        <v>51.363906008024998</v>
      </c>
      <c r="L197" s="24">
        <v>47.337468947329697</v>
      </c>
      <c r="M197" s="24">
        <v>44.596014254333198</v>
      </c>
      <c r="N197" s="24">
        <v>42.962643187776898</v>
      </c>
      <c r="O197" s="24">
        <v>41.350678745086903</v>
      </c>
      <c r="P197" s="24">
        <v>40.601568945848797</v>
      </c>
      <c r="Q197" s="24">
        <v>26.0434877590945</v>
      </c>
      <c r="R197" s="25">
        <v>7.7112583653952997</v>
      </c>
    </row>
    <row r="198" spans="1:18" x14ac:dyDescent="0.3">
      <c r="A198" s="18">
        <v>26.220735789999999</v>
      </c>
      <c r="B198" s="23">
        <v>138.186529387505</v>
      </c>
      <c r="C198" s="24">
        <v>94.0085159269874</v>
      </c>
      <c r="D198" s="24">
        <v>86.633545059069306</v>
      </c>
      <c r="E198" s="24">
        <v>77.047402028929795</v>
      </c>
      <c r="F198" s="24">
        <v>69.579213961611998</v>
      </c>
      <c r="G198" s="24">
        <v>67.387703264164003</v>
      </c>
      <c r="H198" s="24">
        <v>65.175860193293602</v>
      </c>
      <c r="I198" s="24">
        <v>60.404382490447702</v>
      </c>
      <c r="J198" s="24">
        <v>55.8632274337564</v>
      </c>
      <c r="K198" s="24">
        <v>51.554890654216599</v>
      </c>
      <c r="L198" s="24">
        <v>47.548253198342998</v>
      </c>
      <c r="M198" s="24">
        <v>44.822130224878698</v>
      </c>
      <c r="N198" s="24">
        <v>43.192905973367203</v>
      </c>
      <c r="O198" s="24">
        <v>41.584868277111902</v>
      </c>
      <c r="P198" s="24">
        <v>40.830814735286097</v>
      </c>
      <c r="Q198" s="24">
        <v>26.109868413896798</v>
      </c>
      <c r="R198" s="25">
        <v>7.7121706647050203</v>
      </c>
    </row>
    <row r="199" spans="1:18" x14ac:dyDescent="0.3">
      <c r="A199" s="18">
        <v>26.35451505</v>
      </c>
      <c r="B199" s="23">
        <v>138.224899333362</v>
      </c>
      <c r="C199" s="24">
        <v>94.153016008240698</v>
      </c>
      <c r="D199" s="24">
        <v>86.652860595075893</v>
      </c>
      <c r="E199" s="24">
        <v>77.125204080104496</v>
      </c>
      <c r="F199" s="24">
        <v>69.716939543052504</v>
      </c>
      <c r="G199" s="24">
        <v>67.530542566528396</v>
      </c>
      <c r="H199" s="24">
        <v>65.318141112642294</v>
      </c>
      <c r="I199" s="24">
        <v>60.560471482727102</v>
      </c>
      <c r="J199" s="24">
        <v>56.034846043099101</v>
      </c>
      <c r="K199" s="24">
        <v>51.745875300408201</v>
      </c>
      <c r="L199" s="24">
        <v>47.759037449356398</v>
      </c>
      <c r="M199" s="24">
        <v>45.048246195424198</v>
      </c>
      <c r="N199" s="24">
        <v>43.423168758957502</v>
      </c>
      <c r="O199" s="24">
        <v>41.819057809137</v>
      </c>
      <c r="P199" s="24">
        <v>41.060060524723298</v>
      </c>
      <c r="Q199" s="24">
        <v>26.1762490686992</v>
      </c>
      <c r="R199" s="25">
        <v>7.71308296401474</v>
      </c>
    </row>
    <row r="200" spans="1:18" x14ac:dyDescent="0.3">
      <c r="A200" s="18">
        <v>26.488294310000001</v>
      </c>
      <c r="B200" s="23">
        <v>138.263269279219</v>
      </c>
      <c r="C200" s="24">
        <v>94.297516089494096</v>
      </c>
      <c r="D200" s="24">
        <v>86.672176131082495</v>
      </c>
      <c r="E200" s="24">
        <v>77.203006131279295</v>
      </c>
      <c r="F200" s="24">
        <v>69.854665124492996</v>
      </c>
      <c r="G200" s="24">
        <v>67.673381868892704</v>
      </c>
      <c r="H200" s="24">
        <v>65.460422031991101</v>
      </c>
      <c r="I200" s="24">
        <v>60.716560475006503</v>
      </c>
      <c r="J200" s="24">
        <v>56.206464652441703</v>
      </c>
      <c r="K200" s="24">
        <v>51.936859946599697</v>
      </c>
      <c r="L200" s="24">
        <v>47.9698217003697</v>
      </c>
      <c r="M200" s="24">
        <v>45.274362165969698</v>
      </c>
      <c r="N200" s="24">
        <v>43.653431544547701</v>
      </c>
      <c r="O200" s="24">
        <v>42.053247341161999</v>
      </c>
      <c r="P200" s="24">
        <v>41.289306314160598</v>
      </c>
      <c r="Q200" s="24">
        <v>26.242629723501501</v>
      </c>
      <c r="R200" s="25">
        <v>7.7139952633244597</v>
      </c>
    </row>
    <row r="201" spans="1:18" x14ac:dyDescent="0.3">
      <c r="A201" s="18">
        <v>26.622073579999999</v>
      </c>
      <c r="B201" s="23">
        <v>138.301639225076</v>
      </c>
      <c r="C201" s="24">
        <v>94.442016170747493</v>
      </c>
      <c r="D201" s="24">
        <v>86.691491667089196</v>
      </c>
      <c r="E201" s="24">
        <v>77.280808182453995</v>
      </c>
      <c r="F201" s="24">
        <v>69.992390705933502</v>
      </c>
      <c r="G201" s="24">
        <v>67.816221171257098</v>
      </c>
      <c r="H201" s="24">
        <v>65.602702951339893</v>
      </c>
      <c r="I201" s="24">
        <v>60.872649467285903</v>
      </c>
      <c r="J201" s="24">
        <v>56.378083261784397</v>
      </c>
      <c r="K201" s="24">
        <v>52.127844592791298</v>
      </c>
      <c r="L201" s="24">
        <v>48.180605951383001</v>
      </c>
      <c r="M201" s="24">
        <v>45.500478136515099</v>
      </c>
      <c r="N201" s="24">
        <v>43.883694330137999</v>
      </c>
      <c r="O201" s="24">
        <v>42.287436873187097</v>
      </c>
      <c r="P201" s="24">
        <v>41.518552103597798</v>
      </c>
      <c r="Q201" s="24">
        <v>26.3090103783038</v>
      </c>
      <c r="R201" s="25">
        <v>7.7149075626341803</v>
      </c>
    </row>
    <row r="202" spans="1:18" x14ac:dyDescent="0.3">
      <c r="A202" s="18">
        <v>26.755852839999999</v>
      </c>
      <c r="B202" s="23">
        <v>138.340009170933</v>
      </c>
      <c r="C202" s="24">
        <v>94.586516252000905</v>
      </c>
      <c r="D202" s="24">
        <v>86.710807203095797</v>
      </c>
      <c r="E202" s="24">
        <v>77.358610233628696</v>
      </c>
      <c r="F202" s="24">
        <v>70.130116287373994</v>
      </c>
      <c r="G202" s="24">
        <v>67.959060473621506</v>
      </c>
      <c r="H202" s="24">
        <v>65.7449838706886</v>
      </c>
      <c r="I202" s="24">
        <v>61.028738459565297</v>
      </c>
      <c r="J202" s="24">
        <v>56.549701871127098</v>
      </c>
      <c r="K202" s="24">
        <v>52.318829238982801</v>
      </c>
      <c r="L202" s="24">
        <v>48.391390202396302</v>
      </c>
      <c r="M202" s="24">
        <v>45.726594107060599</v>
      </c>
      <c r="N202" s="24">
        <v>44.113957115728297</v>
      </c>
      <c r="O202" s="24">
        <v>42.521626405212103</v>
      </c>
      <c r="P202" s="24">
        <v>41.747797893034999</v>
      </c>
      <c r="Q202" s="24">
        <v>26.375391033106101</v>
      </c>
      <c r="R202" s="25">
        <v>7.7158198619439</v>
      </c>
    </row>
    <row r="203" spans="1:18" x14ac:dyDescent="0.3">
      <c r="A203" s="18">
        <v>26.889632110000001</v>
      </c>
      <c r="B203" s="23">
        <v>138.37837911679</v>
      </c>
      <c r="C203" s="24">
        <v>94.731016333254203</v>
      </c>
      <c r="D203" s="24">
        <v>86.730122739102399</v>
      </c>
      <c r="E203" s="24">
        <v>77.436412284803396</v>
      </c>
      <c r="F203" s="24">
        <v>70.2678418688145</v>
      </c>
      <c r="G203" s="24">
        <v>68.1018997759858</v>
      </c>
      <c r="H203" s="24">
        <v>65.887264790037307</v>
      </c>
      <c r="I203" s="24">
        <v>61.184827451844697</v>
      </c>
      <c r="J203" s="24">
        <v>56.7213204804697</v>
      </c>
      <c r="K203" s="24">
        <v>52.509813885174403</v>
      </c>
      <c r="L203" s="24">
        <v>48.602174453409702</v>
      </c>
      <c r="M203" s="24">
        <v>45.952710077606099</v>
      </c>
      <c r="N203" s="24">
        <v>44.344219901318503</v>
      </c>
      <c r="O203" s="24">
        <v>42.755815937237202</v>
      </c>
      <c r="P203" s="24">
        <v>41.977043682472299</v>
      </c>
      <c r="Q203" s="24">
        <v>26.4417716879084</v>
      </c>
      <c r="R203" s="25">
        <v>7.7167321612536197</v>
      </c>
    </row>
    <row r="204" spans="1:18" x14ac:dyDescent="0.3">
      <c r="A204" s="18">
        <v>27.023411370000002</v>
      </c>
      <c r="B204" s="23">
        <v>138.416749062647</v>
      </c>
      <c r="C204" s="24">
        <v>94.875516414507601</v>
      </c>
      <c r="D204" s="24">
        <v>86.7494382751091</v>
      </c>
      <c r="E204" s="24">
        <v>77.514214335978195</v>
      </c>
      <c r="F204" s="24">
        <v>70.405567450255006</v>
      </c>
      <c r="G204" s="24">
        <v>68.244739078350193</v>
      </c>
      <c r="H204" s="24">
        <v>66.029545709386099</v>
      </c>
      <c r="I204" s="24">
        <v>61.340916444124097</v>
      </c>
      <c r="J204" s="24">
        <v>56.892939089812401</v>
      </c>
      <c r="K204" s="24">
        <v>52.700798531365997</v>
      </c>
      <c r="L204" s="24">
        <v>48.812958704422996</v>
      </c>
      <c r="M204" s="24">
        <v>46.178826048151599</v>
      </c>
      <c r="N204" s="24">
        <v>44.574482686908802</v>
      </c>
      <c r="O204" s="24">
        <v>42.9900054692623</v>
      </c>
      <c r="P204" s="24">
        <v>42.2062894719095</v>
      </c>
      <c r="Q204" s="24">
        <v>26.508152342710702</v>
      </c>
      <c r="R204" s="25">
        <v>7.7176444605633403</v>
      </c>
    </row>
    <row r="205" spans="1:18" x14ac:dyDescent="0.3">
      <c r="A205" s="18">
        <v>27.15719064</v>
      </c>
      <c r="B205" s="23">
        <v>138.455119008503</v>
      </c>
      <c r="C205" s="24">
        <v>95.020016495760999</v>
      </c>
      <c r="D205" s="24">
        <v>86.768753811115701</v>
      </c>
      <c r="E205" s="24">
        <v>77.592016387152896</v>
      </c>
      <c r="F205" s="24">
        <v>70.543293031695498</v>
      </c>
      <c r="G205" s="24">
        <v>68.387578380714601</v>
      </c>
      <c r="H205" s="24">
        <v>66.171826628734905</v>
      </c>
      <c r="I205" s="24">
        <v>61.497005436403398</v>
      </c>
      <c r="J205" s="24">
        <v>57.064557699155102</v>
      </c>
      <c r="K205" s="24">
        <v>52.8917831775575</v>
      </c>
      <c r="L205" s="24">
        <v>49.023742955436298</v>
      </c>
      <c r="M205" s="24">
        <v>46.404942018697</v>
      </c>
      <c r="N205" s="24">
        <v>44.804745472499</v>
      </c>
      <c r="O205" s="24">
        <v>43.224195001287299</v>
      </c>
      <c r="P205" s="24">
        <v>42.435535261346701</v>
      </c>
      <c r="Q205" s="24">
        <v>26.574532997513099</v>
      </c>
      <c r="R205" s="25">
        <v>7.71855675987306</v>
      </c>
    </row>
    <row r="206" spans="1:18" x14ac:dyDescent="0.3">
      <c r="A206" s="18">
        <v>27.2909699</v>
      </c>
      <c r="B206" s="23">
        <v>138.49348895436</v>
      </c>
      <c r="C206" s="24">
        <v>95.164516577014396</v>
      </c>
      <c r="D206" s="24">
        <v>86.788069347122303</v>
      </c>
      <c r="E206" s="24">
        <v>77.669818438327596</v>
      </c>
      <c r="F206" s="24">
        <v>70.681018613136004</v>
      </c>
      <c r="G206" s="24">
        <v>68.530417683078895</v>
      </c>
      <c r="H206" s="24">
        <v>66.314107548083598</v>
      </c>
      <c r="I206" s="24">
        <v>61.653094428682799</v>
      </c>
      <c r="J206" s="24">
        <v>57.236176308497797</v>
      </c>
      <c r="K206" s="24">
        <v>53.082767823749101</v>
      </c>
      <c r="L206" s="24">
        <v>49.234527206449599</v>
      </c>
      <c r="M206" s="24">
        <v>46.6310579892425</v>
      </c>
      <c r="N206" s="24">
        <v>45.035008258089299</v>
      </c>
      <c r="O206" s="24">
        <v>43.458384533312397</v>
      </c>
      <c r="P206" s="24">
        <v>42.664781050784001</v>
      </c>
      <c r="Q206" s="24">
        <v>26.640913652315401</v>
      </c>
      <c r="R206" s="25">
        <v>7.7194690591827797</v>
      </c>
    </row>
    <row r="207" spans="1:18" x14ac:dyDescent="0.3">
      <c r="A207" s="18">
        <v>27.424749160000001</v>
      </c>
      <c r="B207" s="23">
        <v>138.531858900217</v>
      </c>
      <c r="C207" s="24">
        <v>95.309016658267794</v>
      </c>
      <c r="D207" s="24">
        <v>86.807384883128904</v>
      </c>
      <c r="E207" s="24">
        <v>77.747620489502296</v>
      </c>
      <c r="F207" s="24">
        <v>70.818744194576496</v>
      </c>
      <c r="G207" s="24">
        <v>68.673256985443302</v>
      </c>
      <c r="H207" s="24">
        <v>66.456388467432404</v>
      </c>
      <c r="I207" s="24">
        <v>61.809183420962199</v>
      </c>
      <c r="J207" s="24">
        <v>57.407794917840398</v>
      </c>
      <c r="K207" s="24">
        <v>53.273752469940597</v>
      </c>
      <c r="L207" s="24">
        <v>49.445311457462999</v>
      </c>
      <c r="M207" s="24">
        <v>46.857173959788</v>
      </c>
      <c r="N207" s="24">
        <v>45.265271043679597</v>
      </c>
      <c r="O207" s="24">
        <v>43.692574065337404</v>
      </c>
      <c r="P207" s="24">
        <v>42.894026840221201</v>
      </c>
      <c r="Q207" s="24">
        <v>26.707294307117699</v>
      </c>
      <c r="R207" s="25">
        <v>7.7203813584925003</v>
      </c>
    </row>
    <row r="208" spans="1:18" x14ac:dyDescent="0.3">
      <c r="A208" s="18">
        <v>27.558528429999999</v>
      </c>
      <c r="B208" s="23">
        <v>138.570228846074</v>
      </c>
      <c r="C208" s="24">
        <v>95.453516739521106</v>
      </c>
      <c r="D208" s="24">
        <v>86.826700419135605</v>
      </c>
      <c r="E208" s="24">
        <v>77.825422540677096</v>
      </c>
      <c r="F208" s="24">
        <v>70.956469776017002</v>
      </c>
      <c r="G208" s="24">
        <v>68.816096287807696</v>
      </c>
      <c r="H208" s="24">
        <v>66.598669386781097</v>
      </c>
      <c r="I208" s="24">
        <v>61.9652724132416</v>
      </c>
      <c r="J208" s="24">
        <v>57.5794135271831</v>
      </c>
      <c r="K208" s="24">
        <v>53.464737116132198</v>
      </c>
      <c r="L208" s="24">
        <v>49.6560957084763</v>
      </c>
      <c r="M208" s="24">
        <v>47.0832899303334</v>
      </c>
      <c r="N208" s="24">
        <v>45.495533829269803</v>
      </c>
      <c r="O208" s="24">
        <v>43.926763597362502</v>
      </c>
      <c r="P208" s="24">
        <v>43.123272629658402</v>
      </c>
      <c r="Q208" s="24">
        <v>26.773674961920001</v>
      </c>
      <c r="R208" s="25">
        <v>7.72129365780222</v>
      </c>
    </row>
    <row r="209" spans="1:18" x14ac:dyDescent="0.3">
      <c r="A209" s="18">
        <v>27.69230769</v>
      </c>
      <c r="B209" s="23">
        <v>138.608598791931</v>
      </c>
      <c r="C209" s="24">
        <v>95.598016820774504</v>
      </c>
      <c r="D209" s="24">
        <v>86.846015955142207</v>
      </c>
      <c r="E209" s="24">
        <v>77.903224591851796</v>
      </c>
      <c r="F209" s="24">
        <v>71.094195357457494</v>
      </c>
      <c r="G209" s="24">
        <v>68.958935590172004</v>
      </c>
      <c r="H209" s="24">
        <v>66.740950306129903</v>
      </c>
      <c r="I209" s="24">
        <v>62.121361405521</v>
      </c>
      <c r="J209" s="24">
        <v>57.751032136525801</v>
      </c>
      <c r="K209" s="24">
        <v>53.6557217623238</v>
      </c>
      <c r="L209" s="24">
        <v>49.866879959489602</v>
      </c>
      <c r="M209" s="24">
        <v>47.3094059008789</v>
      </c>
      <c r="N209" s="24">
        <v>45.725796614860101</v>
      </c>
      <c r="O209" s="24">
        <v>44.160953129387501</v>
      </c>
      <c r="P209" s="24">
        <v>43.352518419095702</v>
      </c>
      <c r="Q209" s="24">
        <v>26.840055616722299</v>
      </c>
      <c r="R209" s="25">
        <v>7.7222059571119397</v>
      </c>
    </row>
    <row r="210" spans="1:18" x14ac:dyDescent="0.3">
      <c r="A210" s="18">
        <v>27.826086960000001</v>
      </c>
      <c r="B210" s="23">
        <v>138.646968737788</v>
      </c>
      <c r="C210" s="24">
        <v>95.742516902027901</v>
      </c>
      <c r="D210" s="24">
        <v>86.865331491148794</v>
      </c>
      <c r="E210" s="24">
        <v>77.981026643026496</v>
      </c>
      <c r="F210" s="24">
        <v>71.231920938898</v>
      </c>
      <c r="G210" s="24">
        <v>69.101774892536397</v>
      </c>
      <c r="H210" s="24">
        <v>66.883231225478596</v>
      </c>
      <c r="I210" s="24">
        <v>62.277450397800401</v>
      </c>
      <c r="J210" s="24">
        <v>57.922650745868403</v>
      </c>
      <c r="K210" s="24">
        <v>53.846706408515303</v>
      </c>
      <c r="L210" s="24">
        <v>50.077664210502903</v>
      </c>
      <c r="M210" s="24">
        <v>47.5355218714244</v>
      </c>
      <c r="N210" s="24">
        <v>45.9560594004504</v>
      </c>
      <c r="O210" s="24">
        <v>44.395142661412599</v>
      </c>
      <c r="P210" s="24">
        <v>43.581764208532903</v>
      </c>
      <c r="Q210" s="24">
        <v>26.906436271524601</v>
      </c>
      <c r="R210" s="25">
        <v>7.7231182564216603</v>
      </c>
    </row>
    <row r="211" spans="1:18" x14ac:dyDescent="0.3">
      <c r="A211" s="18">
        <v>27.959866219999999</v>
      </c>
      <c r="B211" s="23">
        <v>138.68533868364401</v>
      </c>
      <c r="C211" s="24">
        <v>95.887016983281299</v>
      </c>
      <c r="D211" s="24">
        <v>86.884647027155395</v>
      </c>
      <c r="E211" s="24">
        <v>78.058828694201196</v>
      </c>
      <c r="F211" s="24">
        <v>71.369646520338506</v>
      </c>
      <c r="G211" s="24">
        <v>69.244614194900706</v>
      </c>
      <c r="H211" s="24">
        <v>67.025512144827402</v>
      </c>
      <c r="I211" s="24">
        <v>62.433539390079801</v>
      </c>
      <c r="J211" s="24">
        <v>58.094269355211097</v>
      </c>
      <c r="K211" s="24">
        <v>54.037691054706897</v>
      </c>
      <c r="L211" s="24">
        <v>50.288448461516197</v>
      </c>
      <c r="M211" s="24">
        <v>47.7616378419699</v>
      </c>
      <c r="N211" s="24">
        <v>46.186322186040599</v>
      </c>
      <c r="O211" s="24">
        <v>44.629332193437598</v>
      </c>
      <c r="P211" s="24">
        <v>43.811009997970103</v>
      </c>
      <c r="Q211" s="24">
        <v>26.9728169263269</v>
      </c>
      <c r="R211" s="25">
        <v>7.72403055573138</v>
      </c>
    </row>
    <row r="212" spans="1:18" x14ac:dyDescent="0.3">
      <c r="A212" s="18">
        <v>28.093645479999999</v>
      </c>
      <c r="B212" s="23">
        <v>138.723708629501</v>
      </c>
      <c r="C212" s="24">
        <v>96.031517064534697</v>
      </c>
      <c r="D212" s="24">
        <v>86.903962563162096</v>
      </c>
      <c r="E212" s="24">
        <v>78.136630745375996</v>
      </c>
      <c r="F212" s="24">
        <v>71.507372101778998</v>
      </c>
      <c r="G212" s="24">
        <v>69.387453497265099</v>
      </c>
      <c r="H212" s="24">
        <v>67.167793064176095</v>
      </c>
      <c r="I212" s="24">
        <v>62.589628382359201</v>
      </c>
      <c r="J212" s="24">
        <v>58.265887964553798</v>
      </c>
      <c r="K212" s="24">
        <v>54.228675700898499</v>
      </c>
      <c r="L212" s="24">
        <v>50.499232712529597</v>
      </c>
      <c r="M212" s="24">
        <v>47.987753812515301</v>
      </c>
      <c r="N212" s="24">
        <v>46.416584971630897</v>
      </c>
      <c r="O212" s="24">
        <v>44.863521725462697</v>
      </c>
      <c r="P212" s="24">
        <v>44.040255787407403</v>
      </c>
      <c r="Q212" s="24">
        <v>27.039197581129301</v>
      </c>
      <c r="R212" s="25">
        <v>7.7249428550410997</v>
      </c>
    </row>
    <row r="213" spans="1:18" x14ac:dyDescent="0.3">
      <c r="A213" s="18">
        <v>28.227424750000001</v>
      </c>
      <c r="B213" s="23">
        <v>138.762078575358</v>
      </c>
      <c r="C213" s="24">
        <v>96.176017145787995</v>
      </c>
      <c r="D213" s="24">
        <v>86.923278099168698</v>
      </c>
      <c r="E213" s="24">
        <v>78.214432796550696</v>
      </c>
      <c r="F213" s="24">
        <v>71.645097683219504</v>
      </c>
      <c r="G213" s="24">
        <v>69.530292799629507</v>
      </c>
      <c r="H213" s="24">
        <v>67.310073983524902</v>
      </c>
      <c r="I213" s="24">
        <v>62.745717374638502</v>
      </c>
      <c r="J213" s="24">
        <v>58.4375065738964</v>
      </c>
      <c r="K213" s="24">
        <v>54.419660347090002</v>
      </c>
      <c r="L213" s="24">
        <v>50.710016963542898</v>
      </c>
      <c r="M213" s="24">
        <v>48.213869783060801</v>
      </c>
      <c r="N213" s="24">
        <v>46.646847757221103</v>
      </c>
      <c r="O213" s="24">
        <v>45.097711257487703</v>
      </c>
      <c r="P213" s="24">
        <v>44.269501576844597</v>
      </c>
      <c r="Q213" s="24">
        <v>27.105578235931599</v>
      </c>
      <c r="R213" s="25">
        <v>7.7258551543508203</v>
      </c>
    </row>
    <row r="214" spans="1:18" x14ac:dyDescent="0.3">
      <c r="A214" s="18">
        <v>28.361204010000002</v>
      </c>
      <c r="B214" s="23">
        <v>138.800448521215</v>
      </c>
      <c r="C214" s="24">
        <v>96.320517227041407</v>
      </c>
      <c r="D214" s="24">
        <v>86.942593635175299</v>
      </c>
      <c r="E214" s="24">
        <v>78.292234847725396</v>
      </c>
      <c r="F214" s="24">
        <v>71.782823264659996</v>
      </c>
      <c r="G214" s="24">
        <v>69.673132101993801</v>
      </c>
      <c r="H214" s="24">
        <v>67.452354902873694</v>
      </c>
      <c r="I214" s="24">
        <v>62.901806366917903</v>
      </c>
      <c r="J214" s="24">
        <v>58.609125183239101</v>
      </c>
      <c r="K214" s="24">
        <v>54.610644993281603</v>
      </c>
      <c r="L214" s="24">
        <v>50.920801214556199</v>
      </c>
      <c r="M214" s="24">
        <v>48.439985753606301</v>
      </c>
      <c r="N214" s="24">
        <v>46.877110542811401</v>
      </c>
      <c r="O214" s="24">
        <v>45.331900789512801</v>
      </c>
      <c r="P214" s="24">
        <v>44.498747366281798</v>
      </c>
      <c r="Q214" s="24">
        <v>27.171958890733901</v>
      </c>
      <c r="R214" s="25">
        <v>7.72676745366054</v>
      </c>
    </row>
    <row r="215" spans="1:18" x14ac:dyDescent="0.3">
      <c r="A215" s="18">
        <v>28.49498328</v>
      </c>
      <c r="B215" s="23">
        <v>138.838818467072</v>
      </c>
      <c r="C215" s="24">
        <v>96.465017308294804</v>
      </c>
      <c r="D215" s="24">
        <v>86.961909171182</v>
      </c>
      <c r="E215" s="24">
        <v>78.370036898900096</v>
      </c>
      <c r="F215" s="24">
        <v>71.920548846100502</v>
      </c>
      <c r="G215" s="24">
        <v>69.815971404358194</v>
      </c>
      <c r="H215" s="24">
        <v>67.594635822222401</v>
      </c>
      <c r="I215" s="24">
        <v>63.057895359197303</v>
      </c>
      <c r="J215" s="24">
        <v>58.780743792581802</v>
      </c>
      <c r="K215" s="24">
        <v>54.801629639473099</v>
      </c>
      <c r="L215" s="24">
        <v>51.131585465569501</v>
      </c>
      <c r="M215" s="24">
        <v>48.666101724151702</v>
      </c>
      <c r="N215" s="24">
        <v>47.1073733284017</v>
      </c>
      <c r="O215" s="24">
        <v>45.5660903215378</v>
      </c>
      <c r="P215" s="24">
        <v>44.727993155719098</v>
      </c>
      <c r="Q215" s="24">
        <v>27.238339545536199</v>
      </c>
      <c r="R215" s="25">
        <v>7.7276797529702597</v>
      </c>
    </row>
    <row r="216" spans="1:18" x14ac:dyDescent="0.3">
      <c r="A216" s="18">
        <v>28.62876254</v>
      </c>
      <c r="B216" s="23">
        <v>138.877188412929</v>
      </c>
      <c r="C216" s="24">
        <v>96.609517389548202</v>
      </c>
      <c r="D216" s="24">
        <v>86.981224707188602</v>
      </c>
      <c r="E216" s="24">
        <v>78.447838950074797</v>
      </c>
      <c r="F216" s="24">
        <v>72.058274427540994</v>
      </c>
      <c r="G216" s="24">
        <v>69.958810706722602</v>
      </c>
      <c r="H216" s="24">
        <v>67.736916741571207</v>
      </c>
      <c r="I216" s="24">
        <v>63.213984351476697</v>
      </c>
      <c r="J216" s="24">
        <v>58.952362401924397</v>
      </c>
      <c r="K216" s="24">
        <v>54.9926142856647</v>
      </c>
      <c r="L216" s="24">
        <v>51.342369716582901</v>
      </c>
      <c r="M216" s="24">
        <v>48.892217694697202</v>
      </c>
      <c r="N216" s="24">
        <v>47.337636113991898</v>
      </c>
      <c r="O216" s="24">
        <v>45.800279853562898</v>
      </c>
      <c r="P216" s="24">
        <v>44.957238945156298</v>
      </c>
      <c r="Q216" s="24">
        <v>27.304720200338501</v>
      </c>
      <c r="R216" s="25">
        <v>7.7285920522799696</v>
      </c>
    </row>
    <row r="217" spans="1:18" x14ac:dyDescent="0.3">
      <c r="A217" s="18">
        <v>28.762541809999998</v>
      </c>
      <c r="B217" s="23">
        <v>138.915558358786</v>
      </c>
      <c r="C217" s="24">
        <v>96.7540174708015</v>
      </c>
      <c r="D217" s="24">
        <v>87.000540243195204</v>
      </c>
      <c r="E217" s="24">
        <v>78.525641001249596</v>
      </c>
      <c r="F217" s="24">
        <v>72.1960000089815</v>
      </c>
      <c r="G217" s="24">
        <v>70.101650009086896</v>
      </c>
      <c r="H217" s="24">
        <v>67.8791976609199</v>
      </c>
      <c r="I217" s="24">
        <v>63.370073343756097</v>
      </c>
      <c r="J217" s="24">
        <v>59.123981011267098</v>
      </c>
      <c r="K217" s="24">
        <v>55.183598931856302</v>
      </c>
      <c r="L217" s="24">
        <v>51.553153967596202</v>
      </c>
      <c r="M217" s="24">
        <v>49.118333665242702</v>
      </c>
      <c r="N217" s="24">
        <v>47.567898899582197</v>
      </c>
      <c r="O217" s="24">
        <v>46.034469385587997</v>
      </c>
      <c r="P217" s="24">
        <v>45.186484734593598</v>
      </c>
      <c r="Q217" s="24">
        <v>27.371100855140799</v>
      </c>
      <c r="R217" s="25">
        <v>7.7295043515896902</v>
      </c>
    </row>
    <row r="218" spans="1:18" x14ac:dyDescent="0.3">
      <c r="A218" s="18">
        <v>28.896321069999999</v>
      </c>
      <c r="B218" s="23">
        <v>138.95392830464201</v>
      </c>
      <c r="C218" s="24">
        <v>96.898517552054898</v>
      </c>
      <c r="D218" s="24">
        <v>87.019855779201805</v>
      </c>
      <c r="E218" s="24">
        <v>78.603443052424296</v>
      </c>
      <c r="F218" s="24">
        <v>72.333725590422006</v>
      </c>
      <c r="G218" s="24">
        <v>70.244489311451304</v>
      </c>
      <c r="H218" s="24">
        <v>68.021478580268706</v>
      </c>
      <c r="I218" s="24">
        <v>63.526162336035497</v>
      </c>
      <c r="J218" s="24">
        <v>59.295599620609799</v>
      </c>
      <c r="K218" s="24">
        <v>55.374583578047798</v>
      </c>
      <c r="L218" s="24">
        <v>51.763938218609503</v>
      </c>
      <c r="M218" s="24">
        <v>49.344449635788202</v>
      </c>
      <c r="N218" s="24">
        <v>47.798161685172403</v>
      </c>
      <c r="O218" s="24">
        <v>46.268658917613003</v>
      </c>
      <c r="P218" s="24">
        <v>45.415730524030799</v>
      </c>
      <c r="Q218" s="24">
        <v>27.437481509943101</v>
      </c>
      <c r="R218" s="25">
        <v>7.7304166508994099</v>
      </c>
    </row>
    <row r="219" spans="1:18" x14ac:dyDescent="0.3">
      <c r="A219" s="18">
        <v>29.03010033</v>
      </c>
      <c r="B219" s="23">
        <v>138.992298250499</v>
      </c>
      <c r="C219" s="24">
        <v>97.043017633308295</v>
      </c>
      <c r="D219" s="24">
        <v>87.039171315208506</v>
      </c>
      <c r="E219" s="24">
        <v>78.681245103598997</v>
      </c>
      <c r="F219" s="24">
        <v>72.471451171862498</v>
      </c>
      <c r="G219" s="24">
        <v>70.387328613815697</v>
      </c>
      <c r="H219" s="24">
        <v>68.163759499617399</v>
      </c>
      <c r="I219" s="24">
        <v>63.682251328314898</v>
      </c>
      <c r="J219" s="24">
        <v>59.467218229952401</v>
      </c>
      <c r="K219" s="24">
        <v>55.565568224239399</v>
      </c>
      <c r="L219" s="24">
        <v>51.974722469622797</v>
      </c>
      <c r="M219" s="24">
        <v>49.570565606333602</v>
      </c>
      <c r="N219" s="24">
        <v>48.028424470762701</v>
      </c>
      <c r="O219" s="24">
        <v>46.502848449638101</v>
      </c>
      <c r="P219" s="24">
        <v>45.644976313468</v>
      </c>
      <c r="Q219" s="24">
        <v>27.503862164745499</v>
      </c>
      <c r="R219" s="25">
        <v>7.7313289502091296</v>
      </c>
    </row>
    <row r="220" spans="1:18" x14ac:dyDescent="0.3">
      <c r="A220" s="18">
        <v>29.163879600000001</v>
      </c>
      <c r="B220" s="23">
        <v>139.030668196356</v>
      </c>
      <c r="C220" s="24">
        <v>97.187517714561693</v>
      </c>
      <c r="D220" s="24">
        <v>87.058486851215093</v>
      </c>
      <c r="E220" s="24">
        <v>78.759047154773697</v>
      </c>
      <c r="F220" s="24">
        <v>72.609176753303004</v>
      </c>
      <c r="G220" s="24">
        <v>70.530167916180005</v>
      </c>
      <c r="H220" s="24">
        <v>68.306040418966205</v>
      </c>
      <c r="I220" s="24">
        <v>63.838340320594298</v>
      </c>
      <c r="J220" s="24">
        <v>59.638836839295102</v>
      </c>
      <c r="K220" s="24">
        <v>55.756552870430902</v>
      </c>
      <c r="L220" s="24">
        <v>52.185506720636198</v>
      </c>
      <c r="M220" s="24">
        <v>49.796681576879102</v>
      </c>
      <c r="N220" s="24">
        <v>48.258687256352999</v>
      </c>
      <c r="O220" s="24">
        <v>46.7370379816631</v>
      </c>
      <c r="P220" s="24">
        <v>45.8742221029053</v>
      </c>
      <c r="Q220" s="24">
        <v>27.570242819547801</v>
      </c>
      <c r="R220" s="25">
        <v>7.7322412495188502</v>
      </c>
    </row>
    <row r="221" spans="1:18" x14ac:dyDescent="0.3">
      <c r="A221" s="18">
        <v>29.297658859999999</v>
      </c>
      <c r="B221" s="23">
        <v>139.069038142213</v>
      </c>
      <c r="C221" s="24">
        <v>97.332017795815105</v>
      </c>
      <c r="D221" s="24">
        <v>87.077802387221695</v>
      </c>
      <c r="E221" s="24">
        <v>78.836849205948496</v>
      </c>
      <c r="F221" s="24">
        <v>72.746902334743496</v>
      </c>
      <c r="G221" s="24">
        <v>70.673007218544399</v>
      </c>
      <c r="H221" s="24">
        <v>68.448321338314898</v>
      </c>
      <c r="I221" s="24">
        <v>63.994429312873599</v>
      </c>
      <c r="J221" s="24">
        <v>59.810455448637803</v>
      </c>
      <c r="K221" s="24">
        <v>55.947537516622504</v>
      </c>
      <c r="L221" s="24">
        <v>52.396290971649499</v>
      </c>
      <c r="M221" s="24">
        <v>50.022797547424602</v>
      </c>
      <c r="N221" s="24">
        <v>48.488950041943198</v>
      </c>
      <c r="O221" s="24">
        <v>46.971227513688198</v>
      </c>
      <c r="P221" s="24">
        <v>46.103467892342501</v>
      </c>
      <c r="Q221" s="24">
        <v>27.636623474350099</v>
      </c>
      <c r="R221" s="25">
        <v>7.7331535488285699</v>
      </c>
    </row>
    <row r="222" spans="1:18" x14ac:dyDescent="0.3">
      <c r="A222" s="18">
        <v>29.43143813</v>
      </c>
      <c r="B222" s="23">
        <v>139.10740808807</v>
      </c>
      <c r="C222" s="24">
        <v>97.476517877068403</v>
      </c>
      <c r="D222" s="24">
        <v>87.097117923228296</v>
      </c>
      <c r="E222" s="24">
        <v>78.914651257123197</v>
      </c>
      <c r="F222" s="24">
        <v>72.884627916184002</v>
      </c>
      <c r="G222" s="24">
        <v>70.815846520908806</v>
      </c>
      <c r="H222" s="24">
        <v>68.590602257663704</v>
      </c>
      <c r="I222" s="24">
        <v>64.150518305153</v>
      </c>
      <c r="J222" s="24">
        <v>59.982074057980398</v>
      </c>
      <c r="K222" s="24">
        <v>56.138522162814098</v>
      </c>
      <c r="L222" s="24">
        <v>52.6070752226628</v>
      </c>
      <c r="M222" s="24">
        <v>50.248913517970003</v>
      </c>
      <c r="N222" s="24">
        <v>48.719212827533497</v>
      </c>
      <c r="O222" s="24">
        <v>47.205417045713197</v>
      </c>
      <c r="P222" s="24">
        <v>46.332713681779701</v>
      </c>
      <c r="Q222" s="24">
        <v>27.703004129152401</v>
      </c>
      <c r="R222" s="25">
        <v>7.7340658481382896</v>
      </c>
    </row>
    <row r="223" spans="1:18" x14ac:dyDescent="0.3">
      <c r="A223" s="18">
        <v>29.565217390000001</v>
      </c>
      <c r="B223" s="23">
        <v>139.145778033927</v>
      </c>
      <c r="C223" s="24">
        <v>97.621017958321801</v>
      </c>
      <c r="D223" s="24">
        <v>87.116433459234997</v>
      </c>
      <c r="E223" s="24">
        <v>78.992453308297897</v>
      </c>
      <c r="F223" s="24">
        <v>73.022353497624493</v>
      </c>
      <c r="G223" s="24">
        <v>70.9586858232731</v>
      </c>
      <c r="H223" s="24">
        <v>68.732883177012397</v>
      </c>
      <c r="I223" s="24">
        <v>64.306607297432393</v>
      </c>
      <c r="J223" s="24">
        <v>60.153692667323099</v>
      </c>
      <c r="K223" s="24">
        <v>56.329506809005601</v>
      </c>
      <c r="L223" s="24">
        <v>52.817859473676101</v>
      </c>
      <c r="M223" s="24">
        <v>50.475029488515503</v>
      </c>
      <c r="N223" s="24">
        <v>48.949475613123802</v>
      </c>
      <c r="O223" s="24">
        <v>47.439606577738303</v>
      </c>
      <c r="P223" s="24">
        <v>46.561959471217001</v>
      </c>
      <c r="Q223" s="24">
        <v>27.769384783954699</v>
      </c>
      <c r="R223" s="25">
        <v>7.7349781474480102</v>
      </c>
    </row>
    <row r="224" spans="1:18" x14ac:dyDescent="0.3">
      <c r="A224" s="18">
        <v>29.698996659999999</v>
      </c>
      <c r="B224" s="23">
        <v>139.18414797978301</v>
      </c>
      <c r="C224" s="24">
        <v>97.765518039575198</v>
      </c>
      <c r="D224" s="24">
        <v>87.135748995241599</v>
      </c>
      <c r="E224" s="24">
        <v>79.070255359472597</v>
      </c>
      <c r="F224" s="24">
        <v>73.160079079065</v>
      </c>
      <c r="G224" s="24">
        <v>71.101525125637494</v>
      </c>
      <c r="H224" s="24">
        <v>68.875164096361203</v>
      </c>
      <c r="I224" s="24">
        <v>64.462696289711801</v>
      </c>
      <c r="J224" s="24">
        <v>60.325311276665801</v>
      </c>
      <c r="K224" s="24">
        <v>56.520491455197202</v>
      </c>
      <c r="L224" s="24">
        <v>53.028643724689502</v>
      </c>
      <c r="M224" s="24">
        <v>50.701145459061003</v>
      </c>
      <c r="N224" s="24">
        <v>49.179738398714001</v>
      </c>
      <c r="O224" s="24">
        <v>47.673796109763302</v>
      </c>
      <c r="P224" s="24">
        <v>46.791205260654202</v>
      </c>
      <c r="Q224" s="24">
        <v>27.835765438757001</v>
      </c>
      <c r="R224" s="25">
        <v>7.7358904467577299</v>
      </c>
    </row>
    <row r="225" spans="1:18" x14ac:dyDescent="0.3">
      <c r="A225" s="18">
        <v>29.83277592</v>
      </c>
      <c r="B225" s="23">
        <v>139.22251792564001</v>
      </c>
      <c r="C225" s="24">
        <v>97.910018120828596</v>
      </c>
      <c r="D225" s="24">
        <v>87.1550645312482</v>
      </c>
      <c r="E225" s="24">
        <v>79.148057410647397</v>
      </c>
      <c r="F225" s="24">
        <v>73.297804660505506</v>
      </c>
      <c r="G225" s="24">
        <v>71.244364428001902</v>
      </c>
      <c r="H225" s="24">
        <v>69.017445015709995</v>
      </c>
      <c r="I225" s="24">
        <v>64.618785281991194</v>
      </c>
      <c r="J225" s="24">
        <v>60.496929886008502</v>
      </c>
      <c r="K225" s="24">
        <v>56.711476101388698</v>
      </c>
      <c r="L225" s="24">
        <v>53.239427975702803</v>
      </c>
      <c r="M225" s="24">
        <v>50.927261429606503</v>
      </c>
      <c r="N225" s="24">
        <v>49.410001184304299</v>
      </c>
      <c r="O225" s="24">
        <v>47.9079856417884</v>
      </c>
      <c r="P225" s="24">
        <v>47.020451050091403</v>
      </c>
      <c r="Q225" s="24">
        <v>27.902146093559399</v>
      </c>
      <c r="R225" s="25">
        <v>7.7368027460674504</v>
      </c>
    </row>
    <row r="226" spans="1:18" x14ac:dyDescent="0.3">
      <c r="A226" s="18">
        <v>29.96655518</v>
      </c>
      <c r="B226" s="23">
        <v>139.260887871497</v>
      </c>
      <c r="C226" s="24">
        <v>98.054518202081994</v>
      </c>
      <c r="D226" s="24">
        <v>87.174380067254802</v>
      </c>
      <c r="E226" s="24">
        <v>79.225859461822097</v>
      </c>
      <c r="F226" s="24">
        <v>73.435530241945997</v>
      </c>
      <c r="G226" s="24">
        <v>71.387203730366195</v>
      </c>
      <c r="H226" s="24">
        <v>69.159725935058702</v>
      </c>
      <c r="I226" s="24">
        <v>64.774874274270601</v>
      </c>
      <c r="J226" s="24">
        <v>60.668548495351097</v>
      </c>
      <c r="K226" s="24">
        <v>56.902460747580299</v>
      </c>
      <c r="L226" s="24">
        <v>53.450212226716097</v>
      </c>
      <c r="M226" s="24">
        <v>51.153377400151903</v>
      </c>
      <c r="N226" s="24">
        <v>49.640263969894498</v>
      </c>
      <c r="O226" s="24">
        <v>48.142175173813399</v>
      </c>
      <c r="P226" s="24">
        <v>47.249696839528703</v>
      </c>
      <c r="Q226" s="24">
        <v>27.9685267483617</v>
      </c>
      <c r="R226" s="25">
        <v>7.7377150453771701</v>
      </c>
    </row>
    <row r="227" spans="1:18" x14ac:dyDescent="0.3">
      <c r="A227" s="18">
        <v>30.100334449999998</v>
      </c>
      <c r="B227" s="23">
        <v>139.299257817354</v>
      </c>
      <c r="C227" s="24">
        <v>98.199018283335306</v>
      </c>
      <c r="D227" s="24">
        <v>87.193695603261503</v>
      </c>
      <c r="E227" s="24">
        <v>79.303661512996797</v>
      </c>
      <c r="F227" s="24">
        <v>73.573255823386503</v>
      </c>
      <c r="G227" s="24">
        <v>71.530043032730603</v>
      </c>
      <c r="H227" s="24">
        <v>69.302006854407495</v>
      </c>
      <c r="I227" s="24">
        <v>64.930963266549995</v>
      </c>
      <c r="J227" s="24">
        <v>60.840167104693798</v>
      </c>
      <c r="K227" s="24">
        <v>57.093445393771901</v>
      </c>
      <c r="L227" s="24">
        <v>53.660996477729398</v>
      </c>
      <c r="M227" s="24">
        <v>51.379493370697404</v>
      </c>
      <c r="N227" s="24">
        <v>49.870526755484804</v>
      </c>
      <c r="O227" s="24">
        <v>48.376364705838498</v>
      </c>
      <c r="P227" s="24">
        <v>47.478942628965903</v>
      </c>
      <c r="Q227" s="24">
        <v>28.034907403163999</v>
      </c>
      <c r="R227" s="25">
        <v>7.7386273446868898</v>
      </c>
    </row>
    <row r="228" spans="1:18" x14ac:dyDescent="0.3">
      <c r="A228" s="18">
        <v>30.234113709999999</v>
      </c>
      <c r="B228" s="23">
        <v>139.337627763211</v>
      </c>
      <c r="C228" s="24">
        <v>98.343518364588704</v>
      </c>
      <c r="D228" s="24">
        <v>87.213011139268104</v>
      </c>
      <c r="E228" s="24">
        <v>79.381463564171497</v>
      </c>
      <c r="F228" s="24">
        <v>73.710981404826995</v>
      </c>
      <c r="G228" s="24">
        <v>71.672882335094997</v>
      </c>
      <c r="H228" s="24">
        <v>69.444287773756201</v>
      </c>
      <c r="I228" s="24">
        <v>65.087052258829402</v>
      </c>
      <c r="J228" s="24">
        <v>61.011785714036499</v>
      </c>
      <c r="K228" s="24">
        <v>57.284430039963397</v>
      </c>
      <c r="L228" s="24">
        <v>53.871780728742699</v>
      </c>
      <c r="M228" s="24">
        <v>51.605609341242896</v>
      </c>
      <c r="N228" s="24">
        <v>50.100789541075102</v>
      </c>
      <c r="O228" s="24">
        <v>48.610554237863496</v>
      </c>
      <c r="P228" s="24">
        <v>47.708188418403097</v>
      </c>
      <c r="Q228" s="24">
        <v>28.1012880579663</v>
      </c>
      <c r="R228" s="25">
        <v>7.7395396439966104</v>
      </c>
    </row>
    <row r="229" spans="1:18" x14ac:dyDescent="0.3">
      <c r="A229" s="18">
        <v>30.367892980000001</v>
      </c>
      <c r="B229" s="23">
        <v>139.375997709068</v>
      </c>
      <c r="C229" s="24">
        <v>98.488018445842101</v>
      </c>
      <c r="D229" s="24">
        <v>87.232326675274706</v>
      </c>
      <c r="E229" s="24">
        <v>79.459265615346297</v>
      </c>
      <c r="F229" s="24">
        <v>73.848706986267501</v>
      </c>
      <c r="G229" s="24">
        <v>71.815721637459305</v>
      </c>
      <c r="H229" s="24">
        <v>69.586568693104994</v>
      </c>
      <c r="I229" s="24">
        <v>65.243141251108696</v>
      </c>
      <c r="J229" s="24">
        <v>61.183404323379101</v>
      </c>
      <c r="K229" s="24">
        <v>57.475414686154998</v>
      </c>
      <c r="L229" s="24">
        <v>54.0825649797561</v>
      </c>
      <c r="M229" s="24">
        <v>51.831725311788396</v>
      </c>
      <c r="N229" s="24">
        <v>50.331052326665301</v>
      </c>
      <c r="O229" s="24">
        <v>48.844743769888602</v>
      </c>
      <c r="P229" s="24">
        <v>47.937434207840397</v>
      </c>
      <c r="Q229" s="24">
        <v>28.167668712768599</v>
      </c>
      <c r="R229" s="25">
        <v>7.7404519433063301</v>
      </c>
    </row>
    <row r="230" spans="1:18" x14ac:dyDescent="0.3">
      <c r="A230" s="18">
        <v>30.501672240000001</v>
      </c>
      <c r="B230" s="23">
        <v>139.414367654925</v>
      </c>
      <c r="C230" s="24">
        <v>98.632518527095499</v>
      </c>
      <c r="D230" s="24">
        <v>87.251642211281407</v>
      </c>
      <c r="E230" s="24">
        <v>79.537067666520997</v>
      </c>
      <c r="F230" s="24">
        <v>73.986432567707993</v>
      </c>
      <c r="G230" s="24">
        <v>71.958560939823698</v>
      </c>
      <c r="H230" s="24">
        <v>69.728849612453701</v>
      </c>
      <c r="I230" s="24">
        <v>65.399230243388104</v>
      </c>
      <c r="J230" s="24">
        <v>61.355022932721802</v>
      </c>
      <c r="K230" s="24">
        <v>57.666399332346501</v>
      </c>
      <c r="L230" s="24">
        <v>54.293349230769401</v>
      </c>
      <c r="M230" s="24">
        <v>52.057841282333797</v>
      </c>
      <c r="N230" s="24">
        <v>50.561315112255599</v>
      </c>
      <c r="O230" s="24">
        <v>49.078933301913601</v>
      </c>
      <c r="P230" s="24">
        <v>48.166679997277598</v>
      </c>
      <c r="Q230" s="24">
        <v>28.234049367570901</v>
      </c>
      <c r="R230" s="25">
        <v>7.7413642426160498</v>
      </c>
    </row>
    <row r="231" spans="1:18" x14ac:dyDescent="0.3">
      <c r="A231" s="18">
        <v>30.635451509999999</v>
      </c>
      <c r="B231" s="23">
        <v>139.45273760078101</v>
      </c>
      <c r="C231" s="24">
        <v>98.777018608348797</v>
      </c>
      <c r="D231" s="24">
        <v>87.270957747287994</v>
      </c>
      <c r="E231" s="24">
        <v>79.614869717695697</v>
      </c>
      <c r="F231" s="24">
        <v>74.124158149148499</v>
      </c>
      <c r="G231" s="24">
        <v>72.101400242188006</v>
      </c>
      <c r="H231" s="24">
        <v>69.871130531802507</v>
      </c>
      <c r="I231" s="24">
        <v>65.555319235667497</v>
      </c>
      <c r="J231" s="24">
        <v>61.526641542064503</v>
      </c>
      <c r="K231" s="24">
        <v>57.857383978538103</v>
      </c>
      <c r="L231" s="24">
        <v>54.504133481782702</v>
      </c>
      <c r="M231" s="24">
        <v>52.283957252879297</v>
      </c>
      <c r="N231" s="24">
        <v>50.791577897845897</v>
      </c>
      <c r="O231" s="24">
        <v>49.313122833938699</v>
      </c>
      <c r="P231" s="24">
        <v>48.395925786714798</v>
      </c>
      <c r="Q231" s="24">
        <v>28.300430022373199</v>
      </c>
      <c r="R231" s="25">
        <v>7.7422765419257704</v>
      </c>
    </row>
    <row r="232" spans="1:18" x14ac:dyDescent="0.3">
      <c r="A232" s="18">
        <v>30.76923077</v>
      </c>
      <c r="B232" s="23">
        <v>139.49110754663801</v>
      </c>
      <c r="C232" s="24">
        <v>98.921518689602195</v>
      </c>
      <c r="D232" s="24">
        <v>87.290273283294596</v>
      </c>
      <c r="E232" s="24">
        <v>79.692671768870397</v>
      </c>
      <c r="F232" s="24">
        <v>74.261883730589005</v>
      </c>
      <c r="G232" s="24">
        <v>72.2442395445524</v>
      </c>
      <c r="H232" s="24">
        <v>70.0134114511512</v>
      </c>
      <c r="I232" s="24">
        <v>65.711408227946905</v>
      </c>
      <c r="J232" s="24">
        <v>61.698260151407098</v>
      </c>
      <c r="K232" s="24">
        <v>58.048368624729697</v>
      </c>
      <c r="L232" s="24">
        <v>54.714917732796003</v>
      </c>
      <c r="M232" s="24">
        <v>52.510073223424797</v>
      </c>
      <c r="N232" s="24">
        <v>51.021840683436103</v>
      </c>
      <c r="O232" s="24">
        <v>49.547312365963798</v>
      </c>
      <c r="P232" s="24">
        <v>48.625171576152098</v>
      </c>
      <c r="Q232" s="24">
        <v>28.3668106771756</v>
      </c>
      <c r="R232" s="25">
        <v>7.7431888412354901</v>
      </c>
    </row>
    <row r="233" spans="1:18" x14ac:dyDescent="0.3">
      <c r="A233" s="18">
        <v>30.903010030000001</v>
      </c>
      <c r="B233" s="23">
        <v>139.529477492495</v>
      </c>
      <c r="C233" s="24">
        <v>99.066018770855607</v>
      </c>
      <c r="D233" s="24">
        <v>87.309588819301197</v>
      </c>
      <c r="E233" s="24">
        <v>79.770473820045197</v>
      </c>
      <c r="F233" s="24">
        <v>74.399609312029497</v>
      </c>
      <c r="G233" s="24">
        <v>72.387078846916793</v>
      </c>
      <c r="H233" s="24">
        <v>70.155692370500006</v>
      </c>
      <c r="I233" s="24">
        <v>65.867497220226298</v>
      </c>
      <c r="J233" s="24">
        <v>61.869878760749799</v>
      </c>
      <c r="K233" s="24">
        <v>58.2393532709212</v>
      </c>
      <c r="L233" s="24">
        <v>54.925701983809397</v>
      </c>
      <c r="M233" s="24">
        <v>52.736189193970198</v>
      </c>
      <c r="N233" s="24">
        <v>51.252103469026402</v>
      </c>
      <c r="O233" s="24">
        <v>49.781501897988797</v>
      </c>
      <c r="P233" s="24">
        <v>48.854417365589299</v>
      </c>
      <c r="Q233" s="24">
        <v>28.433191331977898</v>
      </c>
      <c r="R233" s="25">
        <v>7.7441011405452098</v>
      </c>
    </row>
    <row r="234" spans="1:18" x14ac:dyDescent="0.3">
      <c r="A234" s="18">
        <v>31.036789299999999</v>
      </c>
      <c r="B234" s="23">
        <v>139.567847438352</v>
      </c>
      <c r="C234" s="24">
        <v>99.210518852109004</v>
      </c>
      <c r="D234" s="24">
        <v>87.328904355307898</v>
      </c>
      <c r="E234" s="24">
        <v>79.848275871219897</v>
      </c>
      <c r="F234" s="24">
        <v>74.537334893470003</v>
      </c>
      <c r="G234" s="24">
        <v>72.529918149281102</v>
      </c>
      <c r="H234" s="24">
        <v>70.297973289848699</v>
      </c>
      <c r="I234" s="24">
        <v>66.023586212505705</v>
      </c>
      <c r="J234" s="24">
        <v>62.0414973700925</v>
      </c>
      <c r="K234" s="24">
        <v>58.430337917112801</v>
      </c>
      <c r="L234" s="24">
        <v>55.136486234822698</v>
      </c>
      <c r="M234" s="24">
        <v>52.962305164515698</v>
      </c>
      <c r="N234" s="24">
        <v>51.482366254616601</v>
      </c>
      <c r="O234" s="24">
        <v>50.015691430013902</v>
      </c>
      <c r="P234" s="24">
        <v>49.0836631550265</v>
      </c>
      <c r="Q234" s="24">
        <v>28.4995719867802</v>
      </c>
      <c r="R234" s="25">
        <v>7.7450134398549304</v>
      </c>
    </row>
    <row r="235" spans="1:18" x14ac:dyDescent="0.3">
      <c r="A235" s="18">
        <v>31.17056856</v>
      </c>
      <c r="B235" s="23">
        <v>139.606217384209</v>
      </c>
      <c r="C235" s="24">
        <v>99.355018933362402</v>
      </c>
      <c r="D235" s="24">
        <v>87.3482198913145</v>
      </c>
      <c r="E235" s="24">
        <v>79.926077922394597</v>
      </c>
      <c r="F235" s="24">
        <v>74.675060474910495</v>
      </c>
      <c r="G235" s="24">
        <v>72.672757451645495</v>
      </c>
      <c r="H235" s="24">
        <v>70.440254209197505</v>
      </c>
      <c r="I235" s="24">
        <v>66.179675204785099</v>
      </c>
      <c r="J235" s="24">
        <v>62.213115979435102</v>
      </c>
      <c r="K235" s="24">
        <v>58.621322563304297</v>
      </c>
      <c r="L235" s="24">
        <v>55.347270485835999</v>
      </c>
      <c r="M235" s="24">
        <v>53.188421135061198</v>
      </c>
      <c r="N235" s="24">
        <v>51.712629040206899</v>
      </c>
      <c r="O235" s="24">
        <v>50.249880962038901</v>
      </c>
      <c r="P235" s="24">
        <v>49.3129089444638</v>
      </c>
      <c r="Q235" s="24">
        <v>28.565952641582498</v>
      </c>
      <c r="R235" s="25">
        <v>7.7459257391646501</v>
      </c>
    </row>
    <row r="236" spans="1:18" x14ac:dyDescent="0.3">
      <c r="A236" s="18">
        <v>31.304347830000001</v>
      </c>
      <c r="B236" s="23">
        <v>139.644587330066</v>
      </c>
      <c r="C236" s="24">
        <v>99.4995190146157</v>
      </c>
      <c r="D236" s="24">
        <v>87.367535427321101</v>
      </c>
      <c r="E236" s="24">
        <v>80.003879973569298</v>
      </c>
      <c r="F236" s="24">
        <v>74.812786056351001</v>
      </c>
      <c r="G236" s="24">
        <v>72.815596754009903</v>
      </c>
      <c r="H236" s="24">
        <v>70.582535128546297</v>
      </c>
      <c r="I236" s="24">
        <v>66.335764197064407</v>
      </c>
      <c r="J236" s="24">
        <v>62.384734588777803</v>
      </c>
      <c r="K236" s="24">
        <v>58.812307209495899</v>
      </c>
      <c r="L236" s="24">
        <v>55.5580547368493</v>
      </c>
      <c r="M236" s="24">
        <v>53.414537105606698</v>
      </c>
      <c r="N236" s="24">
        <v>51.942891825797197</v>
      </c>
      <c r="O236" s="24">
        <v>50.484070494063999</v>
      </c>
      <c r="P236" s="24">
        <v>49.542154733901</v>
      </c>
      <c r="Q236" s="24">
        <v>28.6323332963848</v>
      </c>
      <c r="R236" s="25">
        <v>7.7468380384743698</v>
      </c>
    </row>
    <row r="237" spans="1:18" x14ac:dyDescent="0.3">
      <c r="A237" s="18">
        <v>31.438127089999998</v>
      </c>
      <c r="B237" s="23">
        <v>139.68295727592201</v>
      </c>
      <c r="C237" s="24">
        <v>99.644019095869098</v>
      </c>
      <c r="D237" s="24">
        <v>87.386850963327703</v>
      </c>
      <c r="E237" s="24">
        <v>80.081682024743998</v>
      </c>
      <c r="F237" s="24">
        <v>74.950511637791493</v>
      </c>
      <c r="G237" s="24">
        <v>72.958436056374197</v>
      </c>
      <c r="H237" s="24">
        <v>70.724816047895004</v>
      </c>
      <c r="I237" s="24">
        <v>66.4918531893438</v>
      </c>
      <c r="J237" s="24">
        <v>62.556353198120497</v>
      </c>
      <c r="K237" s="24">
        <v>59.0032918556875</v>
      </c>
      <c r="L237" s="24">
        <v>55.768838987862701</v>
      </c>
      <c r="M237" s="24">
        <v>53.640653076152098</v>
      </c>
      <c r="N237" s="24">
        <v>52.173154611387403</v>
      </c>
      <c r="O237" s="24">
        <v>50.718260026088998</v>
      </c>
      <c r="P237" s="24">
        <v>49.771400523338301</v>
      </c>
      <c r="Q237" s="24">
        <v>28.698713951187099</v>
      </c>
      <c r="R237" s="25">
        <v>7.7477503377840797</v>
      </c>
    </row>
    <row r="238" spans="1:18" x14ac:dyDescent="0.3">
      <c r="A238" s="18">
        <v>31.571906349999999</v>
      </c>
      <c r="B238" s="23">
        <v>139.72132722177901</v>
      </c>
      <c r="C238" s="24">
        <v>99.788519177122495</v>
      </c>
      <c r="D238" s="24">
        <v>87.406166499334404</v>
      </c>
      <c r="E238" s="24">
        <v>80.159484075918797</v>
      </c>
      <c r="F238" s="24">
        <v>75.088237219231999</v>
      </c>
      <c r="G238" s="24">
        <v>73.101275358738604</v>
      </c>
      <c r="H238" s="24">
        <v>70.867096967243796</v>
      </c>
      <c r="I238" s="24">
        <v>66.647942181623193</v>
      </c>
      <c r="J238" s="24">
        <v>62.727971807463099</v>
      </c>
      <c r="K238" s="24">
        <v>59.194276501879003</v>
      </c>
      <c r="L238" s="24">
        <v>55.979623238876002</v>
      </c>
      <c r="M238" s="24">
        <v>53.866769046697598</v>
      </c>
      <c r="N238" s="24">
        <v>52.403417396977702</v>
      </c>
      <c r="O238" s="24">
        <v>50.952449558114097</v>
      </c>
      <c r="P238" s="24">
        <v>50.000646312775501</v>
      </c>
      <c r="Q238" s="24">
        <v>28.7650946059894</v>
      </c>
      <c r="R238" s="25">
        <v>7.7486626370938003</v>
      </c>
    </row>
    <row r="239" spans="1:18" x14ac:dyDescent="0.3">
      <c r="A239" s="18">
        <v>31.705685620000001</v>
      </c>
      <c r="B239" s="23">
        <v>139.75969716763601</v>
      </c>
      <c r="C239" s="24">
        <v>99.933019258375893</v>
      </c>
      <c r="D239" s="24">
        <v>87.425482035341005</v>
      </c>
      <c r="E239" s="24">
        <v>80.237286127093498</v>
      </c>
      <c r="F239" s="24">
        <v>75.225962800672505</v>
      </c>
      <c r="G239" s="24">
        <v>73.244114661102998</v>
      </c>
      <c r="H239" s="24">
        <v>71.009377886592503</v>
      </c>
      <c r="I239" s="24">
        <v>66.804031173902601</v>
      </c>
      <c r="J239" s="24">
        <v>62.8995904168058</v>
      </c>
      <c r="K239" s="24">
        <v>59.385261148070597</v>
      </c>
      <c r="L239" s="24">
        <v>56.190407489889303</v>
      </c>
      <c r="M239" s="24">
        <v>54.092885017243098</v>
      </c>
      <c r="N239" s="24">
        <v>52.6336801825679</v>
      </c>
      <c r="O239" s="24">
        <v>51.186639090139103</v>
      </c>
      <c r="P239" s="24">
        <v>50.229892102212702</v>
      </c>
      <c r="Q239" s="24">
        <v>28.831475260791802</v>
      </c>
      <c r="R239" s="25">
        <v>7.74957493640352</v>
      </c>
    </row>
    <row r="240" spans="1:18" x14ac:dyDescent="0.3">
      <c r="A240" s="18">
        <v>31.839464880000001</v>
      </c>
      <c r="B240" s="23">
        <v>139.798067113493</v>
      </c>
      <c r="C240" s="24">
        <v>100.07751933962901</v>
      </c>
      <c r="D240" s="24">
        <v>87.444797571347607</v>
      </c>
      <c r="E240" s="24">
        <v>80.315088178268198</v>
      </c>
      <c r="F240" s="24">
        <v>75.363688382112997</v>
      </c>
      <c r="G240" s="24">
        <v>73.386953963467306</v>
      </c>
      <c r="H240" s="24">
        <v>71.151658805941295</v>
      </c>
      <c r="I240" s="24">
        <v>66.960120166181994</v>
      </c>
      <c r="J240" s="24">
        <v>63.071209026148502</v>
      </c>
      <c r="K240" s="24">
        <v>59.5762457942621</v>
      </c>
      <c r="L240" s="24">
        <v>56.401191740902597</v>
      </c>
      <c r="M240" s="24">
        <v>54.319000987788598</v>
      </c>
      <c r="N240" s="24">
        <v>52.863942968158199</v>
      </c>
      <c r="O240" s="24">
        <v>51.420828622164201</v>
      </c>
      <c r="P240" s="24">
        <v>50.459137891650002</v>
      </c>
      <c r="Q240" s="24">
        <v>28.8978559155941</v>
      </c>
      <c r="R240" s="25">
        <v>7.7504872357132397</v>
      </c>
    </row>
    <row r="241" spans="1:18" x14ac:dyDescent="0.3">
      <c r="A241" s="18">
        <v>31.973244149999999</v>
      </c>
      <c r="B241" s="23">
        <v>139.83643705935</v>
      </c>
      <c r="C241" s="24">
        <v>100.22201942088201</v>
      </c>
      <c r="D241" s="24">
        <v>87.464113107354294</v>
      </c>
      <c r="E241" s="24">
        <v>80.392890229442898</v>
      </c>
      <c r="F241" s="24">
        <v>75.501413963553503</v>
      </c>
      <c r="G241" s="24">
        <v>73.5297932658317</v>
      </c>
      <c r="H241" s="24">
        <v>71.293939725290002</v>
      </c>
      <c r="I241" s="24">
        <v>67.116209158461402</v>
      </c>
      <c r="J241" s="24">
        <v>63.242827635491103</v>
      </c>
      <c r="K241" s="24">
        <v>59.767230440453702</v>
      </c>
      <c r="L241" s="24">
        <v>56.611975991915997</v>
      </c>
      <c r="M241" s="24">
        <v>54.545116958333999</v>
      </c>
      <c r="N241" s="24">
        <v>53.094205753748497</v>
      </c>
      <c r="O241" s="24">
        <v>51.6550181541892</v>
      </c>
      <c r="P241" s="24">
        <v>50.688383681087203</v>
      </c>
      <c r="Q241" s="24">
        <v>28.964236570396402</v>
      </c>
      <c r="R241" s="25">
        <v>7.7513995350229603</v>
      </c>
    </row>
    <row r="242" spans="1:18" x14ac:dyDescent="0.3">
      <c r="A242" s="18">
        <v>32.107023409999996</v>
      </c>
      <c r="B242" s="23">
        <v>139.874807005207</v>
      </c>
      <c r="C242" s="24">
        <v>100.366519502136</v>
      </c>
      <c r="D242" s="24">
        <v>87.483428643360895</v>
      </c>
      <c r="E242" s="24">
        <v>80.470692280617698</v>
      </c>
      <c r="F242" s="24">
        <v>75.639139544993995</v>
      </c>
      <c r="G242" s="24">
        <v>73.672632568196093</v>
      </c>
      <c r="H242" s="24">
        <v>71.436220644638794</v>
      </c>
      <c r="I242" s="24">
        <v>67.272298150740795</v>
      </c>
      <c r="J242" s="24">
        <v>63.414446244833798</v>
      </c>
      <c r="K242" s="24">
        <v>59.958215086645303</v>
      </c>
      <c r="L242" s="24">
        <v>56.822760242929299</v>
      </c>
      <c r="M242" s="24">
        <v>54.771232928879499</v>
      </c>
      <c r="N242" s="24">
        <v>53.324468539338703</v>
      </c>
      <c r="O242" s="24">
        <v>51.889207686214299</v>
      </c>
      <c r="P242" s="24">
        <v>50.917629470524403</v>
      </c>
      <c r="Q242" s="24">
        <v>29.0306172251987</v>
      </c>
      <c r="R242" s="25">
        <v>7.75231183433268</v>
      </c>
    </row>
    <row r="243" spans="1:18" x14ac:dyDescent="0.3">
      <c r="A243" s="18">
        <v>32.240802680000002</v>
      </c>
      <c r="B243" s="23">
        <v>139.913176951064</v>
      </c>
      <c r="C243" s="24">
        <v>100.511019583389</v>
      </c>
      <c r="D243" s="24">
        <v>87.502744179367497</v>
      </c>
      <c r="E243" s="24">
        <v>80.548494331792398</v>
      </c>
      <c r="F243" s="24">
        <v>75.776865126434501</v>
      </c>
      <c r="G243" s="24">
        <v>73.815471870560401</v>
      </c>
      <c r="H243" s="24">
        <v>71.578501563987501</v>
      </c>
      <c r="I243" s="24">
        <v>67.428387143020203</v>
      </c>
      <c r="J243" s="24">
        <v>63.586064854176499</v>
      </c>
      <c r="K243" s="24">
        <v>60.149199732836799</v>
      </c>
      <c r="L243" s="24">
        <v>57.0335444939426</v>
      </c>
      <c r="M243" s="24">
        <v>54.997348899424999</v>
      </c>
      <c r="N243" s="24">
        <v>53.554731324929001</v>
      </c>
      <c r="O243" s="24">
        <v>52.123397218239397</v>
      </c>
      <c r="P243" s="24">
        <v>51.146875259961703</v>
      </c>
      <c r="Q243" s="24">
        <v>29.096997880000998</v>
      </c>
      <c r="R243" s="25">
        <v>7.7532241336423997</v>
      </c>
    </row>
    <row r="244" spans="1:18" x14ac:dyDescent="0.3">
      <c r="A244" s="18">
        <v>32.374581939999999</v>
      </c>
      <c r="B244" s="23">
        <v>139.95154689692001</v>
      </c>
      <c r="C244" s="24">
        <v>100.655519664642</v>
      </c>
      <c r="D244" s="24">
        <v>87.522059715374098</v>
      </c>
      <c r="E244" s="24">
        <v>80.626296382967098</v>
      </c>
      <c r="F244" s="24">
        <v>75.914590707875007</v>
      </c>
      <c r="G244" s="24">
        <v>73.958311172924795</v>
      </c>
      <c r="H244" s="24">
        <v>71.720782483336293</v>
      </c>
      <c r="I244" s="24">
        <v>67.584476135299596</v>
      </c>
      <c r="J244" s="24">
        <v>63.7576834635192</v>
      </c>
      <c r="K244" s="24">
        <v>60.3401843790284</v>
      </c>
      <c r="L244" s="24">
        <v>57.244328744955901</v>
      </c>
      <c r="M244" s="24">
        <v>55.2234648699704</v>
      </c>
      <c r="N244" s="24">
        <v>53.7849941105192</v>
      </c>
      <c r="O244" s="24">
        <v>52.357586750264403</v>
      </c>
      <c r="P244" s="24">
        <v>51.376121049398897</v>
      </c>
      <c r="Q244" s="24">
        <v>29.1633785348033</v>
      </c>
      <c r="R244" s="25">
        <v>7.7541364329521203</v>
      </c>
    </row>
    <row r="245" spans="1:18" x14ac:dyDescent="0.3">
      <c r="A245" s="18">
        <v>32.508361200000003</v>
      </c>
      <c r="B245" s="23">
        <v>139.98991684277701</v>
      </c>
      <c r="C245" s="24">
        <v>100.80001974589599</v>
      </c>
      <c r="D245" s="24">
        <v>87.541375251380799</v>
      </c>
      <c r="E245" s="24">
        <v>80.704098434141798</v>
      </c>
      <c r="F245" s="24">
        <v>76.052316289315499</v>
      </c>
      <c r="G245" s="24">
        <v>74.101150475289202</v>
      </c>
      <c r="H245" s="24">
        <v>71.863063402685</v>
      </c>
      <c r="I245" s="24">
        <v>67.740565127578904</v>
      </c>
      <c r="J245" s="24">
        <v>63.929302072861802</v>
      </c>
      <c r="K245" s="24">
        <v>60.531169025219903</v>
      </c>
      <c r="L245" s="24">
        <v>57.455112995969301</v>
      </c>
      <c r="M245" s="24">
        <v>55.4495808405159</v>
      </c>
      <c r="N245" s="24">
        <v>54.015256896109499</v>
      </c>
      <c r="O245" s="24">
        <v>52.591776282289501</v>
      </c>
      <c r="P245" s="24">
        <v>51.605366838836098</v>
      </c>
      <c r="Q245" s="24">
        <v>29.229759189605598</v>
      </c>
      <c r="R245" s="25">
        <v>7.75504873226184</v>
      </c>
    </row>
    <row r="246" spans="1:18" x14ac:dyDescent="0.3">
      <c r="A246" s="18">
        <v>32.642140470000001</v>
      </c>
      <c r="B246" s="23">
        <v>140.02828678863401</v>
      </c>
      <c r="C246" s="24">
        <v>100.94451982714899</v>
      </c>
      <c r="D246" s="24">
        <v>87.560690787387401</v>
      </c>
      <c r="E246" s="24">
        <v>80.781900485316598</v>
      </c>
      <c r="F246" s="24">
        <v>76.190041870756005</v>
      </c>
      <c r="G246" s="24">
        <v>74.243989777653496</v>
      </c>
      <c r="H246" s="24">
        <v>72.005344322033807</v>
      </c>
      <c r="I246" s="24">
        <v>67.896654119858297</v>
      </c>
      <c r="J246" s="24">
        <v>64.100920682204503</v>
      </c>
      <c r="K246" s="24">
        <v>60.722153671411498</v>
      </c>
      <c r="L246" s="24">
        <v>57.665897246982603</v>
      </c>
      <c r="M246" s="24">
        <v>55.6756968110614</v>
      </c>
      <c r="N246" s="24">
        <v>54.245519681699797</v>
      </c>
      <c r="O246" s="24">
        <v>52.8259658143145</v>
      </c>
      <c r="P246" s="24">
        <v>51.834612628273398</v>
      </c>
      <c r="Q246" s="24">
        <v>29.296139844408</v>
      </c>
      <c r="R246" s="25">
        <v>7.7559610315715597</v>
      </c>
    </row>
    <row r="247" spans="1:18" x14ac:dyDescent="0.3">
      <c r="A247" s="18">
        <v>32.775919729999998</v>
      </c>
      <c r="B247" s="23">
        <v>140.066656734491</v>
      </c>
      <c r="C247" s="24">
        <v>101.08901990840199</v>
      </c>
      <c r="D247" s="24">
        <v>87.580006323394002</v>
      </c>
      <c r="E247" s="24">
        <v>80.859702536491298</v>
      </c>
      <c r="F247" s="24">
        <v>76.327767452196497</v>
      </c>
      <c r="G247" s="24">
        <v>74.386829080017904</v>
      </c>
      <c r="H247" s="24">
        <v>72.147625241382599</v>
      </c>
      <c r="I247" s="24">
        <v>68.052743112137705</v>
      </c>
      <c r="J247" s="24">
        <v>64.272539291547204</v>
      </c>
      <c r="K247" s="24">
        <v>60.913138317603099</v>
      </c>
      <c r="L247" s="24">
        <v>57.876681497995897</v>
      </c>
      <c r="M247" s="24">
        <v>55.9018127816069</v>
      </c>
      <c r="N247" s="24">
        <v>54.475782467290003</v>
      </c>
      <c r="O247" s="24">
        <v>53.060155346339599</v>
      </c>
      <c r="P247" s="24">
        <v>52.063858417710598</v>
      </c>
      <c r="Q247" s="24">
        <v>29.362520499210301</v>
      </c>
      <c r="R247" s="25">
        <v>7.7568733308812803</v>
      </c>
    </row>
    <row r="248" spans="1:18" x14ac:dyDescent="0.3">
      <c r="A248" s="18">
        <v>32.909699000000003</v>
      </c>
      <c r="B248" s="23">
        <v>140.105026680348</v>
      </c>
      <c r="C248" s="24">
        <v>101.233519989656</v>
      </c>
      <c r="D248" s="24">
        <v>87.599321859400604</v>
      </c>
      <c r="E248" s="24">
        <v>80.937504587665998</v>
      </c>
      <c r="F248" s="24">
        <v>76.465493033637003</v>
      </c>
      <c r="G248" s="24">
        <v>74.529668382382297</v>
      </c>
      <c r="H248" s="24">
        <v>72.289906160731306</v>
      </c>
      <c r="I248" s="24">
        <v>68.208832104417098</v>
      </c>
      <c r="J248" s="24">
        <v>64.444157900889806</v>
      </c>
      <c r="K248" s="24">
        <v>61.104122963794602</v>
      </c>
      <c r="L248" s="24">
        <v>58.087465749009198</v>
      </c>
      <c r="M248" s="24">
        <v>56.1279287521523</v>
      </c>
      <c r="N248" s="24">
        <v>54.706045252880301</v>
      </c>
      <c r="O248" s="24">
        <v>53.294344878364598</v>
      </c>
      <c r="P248" s="24">
        <v>52.293104207147799</v>
      </c>
      <c r="Q248" s="24">
        <v>29.4289011540126</v>
      </c>
      <c r="R248" s="25">
        <v>7.757785630191</v>
      </c>
    </row>
    <row r="249" spans="1:18" x14ac:dyDescent="0.3">
      <c r="A249" s="18">
        <v>33.043478260000001</v>
      </c>
      <c r="B249" s="23">
        <v>140.143396626205</v>
      </c>
      <c r="C249" s="24">
        <v>101.378020070909</v>
      </c>
      <c r="D249" s="24">
        <v>87.618637395407305</v>
      </c>
      <c r="E249" s="24">
        <v>81.015306638840698</v>
      </c>
      <c r="F249" s="24">
        <v>76.603218615077495</v>
      </c>
      <c r="G249" s="24">
        <v>74.672507684746606</v>
      </c>
      <c r="H249" s="24">
        <v>72.432187080080098</v>
      </c>
      <c r="I249" s="24">
        <v>68.364921096696506</v>
      </c>
      <c r="J249" s="24">
        <v>64.615776510232493</v>
      </c>
      <c r="K249" s="24">
        <v>61.295107609986196</v>
      </c>
      <c r="L249" s="24">
        <v>58.298250000022499</v>
      </c>
      <c r="M249" s="24">
        <v>56.3540447226978</v>
      </c>
      <c r="N249" s="24">
        <v>54.9363080384706</v>
      </c>
      <c r="O249" s="24">
        <v>53.528534410389703</v>
      </c>
      <c r="P249" s="24">
        <v>52.522349996585099</v>
      </c>
      <c r="Q249" s="24">
        <v>29.495281808814902</v>
      </c>
      <c r="R249" s="25">
        <v>7.7586979295007197</v>
      </c>
    </row>
    <row r="250" spans="1:18" x14ac:dyDescent="0.3">
      <c r="A250" s="18">
        <v>33.177257529999999</v>
      </c>
      <c r="B250" s="23">
        <v>140.18176657206101</v>
      </c>
      <c r="C250" s="24">
        <v>101.522520152163</v>
      </c>
      <c r="D250" s="24">
        <v>87.637952931413906</v>
      </c>
      <c r="E250" s="24">
        <v>81.093108690015498</v>
      </c>
      <c r="F250" s="24">
        <v>76.740944196518001</v>
      </c>
      <c r="G250" s="24">
        <v>74.815346987110999</v>
      </c>
      <c r="H250" s="24">
        <v>72.574467999428805</v>
      </c>
      <c r="I250" s="24">
        <v>68.521010088975899</v>
      </c>
      <c r="J250" s="24">
        <v>64.787395119575194</v>
      </c>
      <c r="K250" s="24">
        <v>61.486092256177798</v>
      </c>
      <c r="L250" s="24">
        <v>58.509034251035899</v>
      </c>
      <c r="M250" s="24">
        <v>56.5801606932433</v>
      </c>
      <c r="N250" s="24">
        <v>55.166570824060798</v>
      </c>
      <c r="O250" s="24">
        <v>53.762723942414702</v>
      </c>
      <c r="P250" s="24">
        <v>52.7515957860223</v>
      </c>
      <c r="Q250" s="24">
        <v>29.5616624636172</v>
      </c>
      <c r="R250" s="25">
        <v>7.7596102288104403</v>
      </c>
    </row>
    <row r="251" spans="1:18" x14ac:dyDescent="0.3">
      <c r="A251" s="18">
        <v>33.311036790000003</v>
      </c>
      <c r="B251" s="23">
        <v>140.22013651791801</v>
      </c>
      <c r="C251" s="24">
        <v>101.667020233416</v>
      </c>
      <c r="D251" s="24">
        <v>87.657268467420494</v>
      </c>
      <c r="E251" s="24">
        <v>81.170910741190198</v>
      </c>
      <c r="F251" s="24">
        <v>76.878669777958507</v>
      </c>
      <c r="G251" s="24">
        <v>74.958186289475407</v>
      </c>
      <c r="H251" s="24">
        <v>72.716748918777597</v>
      </c>
      <c r="I251" s="24">
        <v>68.677099081255307</v>
      </c>
      <c r="J251" s="24">
        <v>64.959013728917796</v>
      </c>
      <c r="K251" s="24">
        <v>61.677076902369301</v>
      </c>
      <c r="L251" s="24">
        <v>58.719818502049201</v>
      </c>
      <c r="M251" s="24">
        <v>56.806276663788701</v>
      </c>
      <c r="N251" s="24">
        <v>55.396833609651097</v>
      </c>
      <c r="O251" s="24">
        <v>53.9969134744398</v>
      </c>
      <c r="P251" s="24">
        <v>52.9808415754596</v>
      </c>
      <c r="Q251" s="24">
        <v>29.628043118419502</v>
      </c>
      <c r="R251" s="25">
        <v>7.76052252812016</v>
      </c>
    </row>
    <row r="252" spans="1:18" x14ac:dyDescent="0.3">
      <c r="A252" s="18">
        <v>33.44481605</v>
      </c>
      <c r="B252" s="23">
        <v>140.25850646377501</v>
      </c>
      <c r="C252" s="24">
        <v>101.811520314669</v>
      </c>
      <c r="D252" s="24">
        <v>87.676584003427195</v>
      </c>
      <c r="E252" s="24">
        <v>81.248712792364898</v>
      </c>
      <c r="F252" s="24">
        <v>77.016395359398999</v>
      </c>
      <c r="G252" s="24">
        <v>75.101025591839701</v>
      </c>
      <c r="H252" s="24">
        <v>72.859029838126304</v>
      </c>
      <c r="I252" s="24">
        <v>68.8331880735347</v>
      </c>
      <c r="J252" s="24">
        <v>65.130632338260497</v>
      </c>
      <c r="K252" s="24">
        <v>61.868061548560902</v>
      </c>
      <c r="L252" s="24">
        <v>58.930602753062502</v>
      </c>
      <c r="M252" s="24">
        <v>57.032392634334201</v>
      </c>
      <c r="N252" s="24">
        <v>55.627096395241303</v>
      </c>
      <c r="O252" s="24">
        <v>54.231103006464799</v>
      </c>
      <c r="P252" s="24">
        <v>53.2100873648968</v>
      </c>
      <c r="Q252" s="24">
        <v>29.694423773221899</v>
      </c>
      <c r="R252" s="25">
        <v>7.7614348274298797</v>
      </c>
    </row>
    <row r="253" spans="1:18" x14ac:dyDescent="0.3">
      <c r="A253" s="18">
        <v>33.578595319999998</v>
      </c>
      <c r="B253" s="23">
        <v>140.29687640963201</v>
      </c>
      <c r="C253" s="24">
        <v>101.95602039592301</v>
      </c>
      <c r="D253" s="24">
        <v>87.695899539433796</v>
      </c>
      <c r="E253" s="24">
        <v>81.326514843539599</v>
      </c>
      <c r="F253" s="24">
        <v>77.154120940839505</v>
      </c>
      <c r="G253" s="24">
        <v>75.243864894204094</v>
      </c>
      <c r="H253" s="24">
        <v>73.001310757475096</v>
      </c>
      <c r="I253" s="24">
        <v>68.989277065813994</v>
      </c>
      <c r="J253" s="24">
        <v>65.302250947603198</v>
      </c>
      <c r="K253" s="24">
        <v>62.059046194752398</v>
      </c>
      <c r="L253" s="24">
        <v>59.141387004075803</v>
      </c>
      <c r="M253" s="24">
        <v>57.258508604879701</v>
      </c>
      <c r="N253" s="24">
        <v>55.857359180831601</v>
      </c>
      <c r="O253" s="24">
        <v>54.465292538489898</v>
      </c>
      <c r="P253" s="24">
        <v>53.439333154334001</v>
      </c>
      <c r="Q253" s="24">
        <v>29.760804428024201</v>
      </c>
      <c r="R253" s="25">
        <v>7.7623471267396003</v>
      </c>
    </row>
    <row r="254" spans="1:18" x14ac:dyDescent="0.3">
      <c r="A254" s="18">
        <v>33.712374580000002</v>
      </c>
      <c r="B254" s="23">
        <v>140.33524635548901</v>
      </c>
      <c r="C254" s="24">
        <v>102.100520477176</v>
      </c>
      <c r="D254" s="24">
        <v>87.715215075440398</v>
      </c>
      <c r="E254" s="24">
        <v>81.404316894714398</v>
      </c>
      <c r="F254" s="24">
        <v>77.291846522279997</v>
      </c>
      <c r="G254" s="24">
        <v>75.386704196568502</v>
      </c>
      <c r="H254" s="24">
        <v>73.143591676823803</v>
      </c>
      <c r="I254" s="24">
        <v>69.145366058093401</v>
      </c>
      <c r="J254" s="24">
        <v>65.4738695569458</v>
      </c>
      <c r="K254" s="24">
        <v>62.250030840944</v>
      </c>
      <c r="L254" s="24">
        <v>59.352171255089203</v>
      </c>
      <c r="M254" s="24">
        <v>57.484624575425201</v>
      </c>
      <c r="N254" s="24">
        <v>56.087621966421899</v>
      </c>
      <c r="O254" s="24">
        <v>54.699482070514897</v>
      </c>
      <c r="P254" s="24">
        <v>53.668578943771301</v>
      </c>
      <c r="Q254" s="24">
        <v>29.827185082826499</v>
      </c>
      <c r="R254" s="25">
        <v>7.76325942604932</v>
      </c>
    </row>
    <row r="255" spans="1:18" x14ac:dyDescent="0.3">
      <c r="A255" s="18">
        <v>33.84615385</v>
      </c>
      <c r="B255" s="23">
        <v>140.373616301346</v>
      </c>
      <c r="C255" s="24">
        <v>102.245020558429</v>
      </c>
      <c r="D255" s="24">
        <v>87.734530611446999</v>
      </c>
      <c r="E255" s="24">
        <v>81.482118945889098</v>
      </c>
      <c r="F255" s="24">
        <v>77.429572103720503</v>
      </c>
      <c r="G255" s="24">
        <v>75.529543498932796</v>
      </c>
      <c r="H255" s="24">
        <v>73.285872596172595</v>
      </c>
      <c r="I255" s="24">
        <v>69.301455050372795</v>
      </c>
      <c r="J255" s="24">
        <v>65.645488166288501</v>
      </c>
      <c r="K255" s="24">
        <v>62.441015487135601</v>
      </c>
      <c r="L255" s="24">
        <v>59.562955506102497</v>
      </c>
      <c r="M255" s="24">
        <v>57.710740545970602</v>
      </c>
      <c r="N255" s="24">
        <v>56.317884752012098</v>
      </c>
      <c r="O255" s="24">
        <v>54.933671602540002</v>
      </c>
      <c r="P255" s="24">
        <v>53.897824733208502</v>
      </c>
      <c r="Q255" s="24">
        <v>29.893565737628801</v>
      </c>
      <c r="R255" s="25">
        <v>7.7641717253590397</v>
      </c>
    </row>
    <row r="256" spans="1:18" x14ac:dyDescent="0.3">
      <c r="A256" s="18">
        <v>33.979933109999997</v>
      </c>
      <c r="B256" s="23">
        <v>140.411986247203</v>
      </c>
      <c r="C256" s="24">
        <v>102.389520639683</v>
      </c>
      <c r="D256" s="24">
        <v>87.7538461474537</v>
      </c>
      <c r="E256" s="24">
        <v>81.559920997063799</v>
      </c>
      <c r="F256" s="24">
        <v>77.567297685160995</v>
      </c>
      <c r="G256" s="24">
        <v>75.672382801297204</v>
      </c>
      <c r="H256" s="24">
        <v>73.428153515521302</v>
      </c>
      <c r="I256" s="24">
        <v>69.457544042652202</v>
      </c>
      <c r="J256" s="24">
        <v>65.817106775631203</v>
      </c>
      <c r="K256" s="24">
        <v>62.632000133327097</v>
      </c>
      <c r="L256" s="24">
        <v>59.773739757115798</v>
      </c>
      <c r="M256" s="24">
        <v>57.936856516516102</v>
      </c>
      <c r="N256" s="24">
        <v>56.548147537602397</v>
      </c>
      <c r="O256" s="24">
        <v>55.167861134565001</v>
      </c>
      <c r="P256" s="24">
        <v>54.127070522645703</v>
      </c>
      <c r="Q256" s="24">
        <v>29.9599463924311</v>
      </c>
      <c r="R256" s="25">
        <v>7.7650840246687602</v>
      </c>
    </row>
    <row r="257" spans="1:18" x14ac:dyDescent="0.3">
      <c r="A257" s="18">
        <v>34.113712370000002</v>
      </c>
      <c r="B257" s="23">
        <v>140.45035619305901</v>
      </c>
      <c r="C257" s="24">
        <v>102.534020720936</v>
      </c>
      <c r="D257" s="24">
        <v>87.773161683460302</v>
      </c>
      <c r="E257" s="24">
        <v>81.637723048238499</v>
      </c>
      <c r="F257" s="24">
        <v>77.705023266601501</v>
      </c>
      <c r="G257" s="24">
        <v>75.815222103661597</v>
      </c>
      <c r="H257" s="24">
        <v>73.570434434870094</v>
      </c>
      <c r="I257" s="24">
        <v>69.613633034931595</v>
      </c>
      <c r="J257" s="24">
        <v>65.988725384973804</v>
      </c>
      <c r="K257" s="24">
        <v>62.822984779518698</v>
      </c>
      <c r="L257" s="24">
        <v>59.9845240081291</v>
      </c>
      <c r="M257" s="24">
        <v>58.162972487061602</v>
      </c>
      <c r="N257" s="24">
        <v>56.778410323192702</v>
      </c>
      <c r="O257" s="24">
        <v>55.4020506665901</v>
      </c>
      <c r="P257" s="24">
        <v>54.356316312083003</v>
      </c>
      <c r="Q257" s="24">
        <v>30.026327047233401</v>
      </c>
      <c r="R257" s="25">
        <v>7.7659963239784799</v>
      </c>
    </row>
    <row r="258" spans="1:18" x14ac:dyDescent="0.3">
      <c r="A258" s="18">
        <v>34.24749164</v>
      </c>
      <c r="B258" s="23">
        <v>140.48872613891601</v>
      </c>
      <c r="C258" s="24">
        <v>102.67852080218999</v>
      </c>
      <c r="D258" s="24">
        <v>87.792477219466903</v>
      </c>
      <c r="E258" s="24">
        <v>81.715525099413298</v>
      </c>
      <c r="F258" s="24">
        <v>77.842748848042007</v>
      </c>
      <c r="G258" s="24">
        <v>75.958061406025905</v>
      </c>
      <c r="H258" s="24">
        <v>73.712715354218801</v>
      </c>
      <c r="I258" s="24">
        <v>69.769722027211003</v>
      </c>
      <c r="J258" s="24">
        <v>66.160343994316506</v>
      </c>
      <c r="K258" s="24">
        <v>63.013969425710201</v>
      </c>
      <c r="L258" s="24">
        <v>60.1953082591425</v>
      </c>
      <c r="M258" s="24">
        <v>58.389088457607002</v>
      </c>
      <c r="N258" s="24">
        <v>57.008673108782901</v>
      </c>
      <c r="O258" s="24">
        <v>55.636240198615198</v>
      </c>
      <c r="P258" s="24">
        <v>54.585562101520203</v>
      </c>
      <c r="Q258" s="24">
        <v>30.0927077020357</v>
      </c>
      <c r="R258" s="25">
        <v>7.7669086232881899</v>
      </c>
    </row>
    <row r="259" spans="1:18" x14ac:dyDescent="0.3">
      <c r="A259" s="18">
        <v>34.381270899999997</v>
      </c>
      <c r="B259" s="23">
        <v>140.52709608477301</v>
      </c>
      <c r="C259" s="24">
        <v>102.82302088344299</v>
      </c>
      <c r="D259" s="24">
        <v>87.811792755473505</v>
      </c>
      <c r="E259" s="24">
        <v>81.793327150587999</v>
      </c>
      <c r="F259" s="24">
        <v>77.980474429482598</v>
      </c>
      <c r="G259" s="24">
        <v>76.100900708390299</v>
      </c>
      <c r="H259" s="24">
        <v>73.854996273567593</v>
      </c>
      <c r="I259" s="24">
        <v>69.925811019490396</v>
      </c>
      <c r="J259" s="24">
        <v>66.331962603659207</v>
      </c>
      <c r="K259" s="24">
        <v>63.204954071901803</v>
      </c>
      <c r="L259" s="24">
        <v>60.406092510155801</v>
      </c>
      <c r="M259" s="24">
        <v>58.615204428152502</v>
      </c>
      <c r="N259" s="24">
        <v>57.238935894373199</v>
      </c>
      <c r="O259" s="24">
        <v>55.870429730640197</v>
      </c>
      <c r="P259" s="24">
        <v>54.814807890957397</v>
      </c>
      <c r="Q259" s="24">
        <v>30.159088356838101</v>
      </c>
      <c r="R259" s="25">
        <v>7.7678209225979096</v>
      </c>
    </row>
    <row r="260" spans="1:18" x14ac:dyDescent="0.3">
      <c r="A260" s="18">
        <v>34.515050170000002</v>
      </c>
      <c r="B260" s="23">
        <v>140.56546603063001</v>
      </c>
      <c r="C260" s="24">
        <v>102.96752096469601</v>
      </c>
      <c r="D260" s="24">
        <v>87.831108291480206</v>
      </c>
      <c r="E260" s="24">
        <v>81.871129201762699</v>
      </c>
      <c r="F260" s="24">
        <v>78.118200010923005</v>
      </c>
      <c r="G260" s="24">
        <v>76.243740010754607</v>
      </c>
      <c r="H260" s="24">
        <v>73.9972771929164</v>
      </c>
      <c r="I260" s="24">
        <v>70.081900011769804</v>
      </c>
      <c r="J260" s="24">
        <v>66.503581213001894</v>
      </c>
      <c r="K260" s="24">
        <v>63.395938718093397</v>
      </c>
      <c r="L260" s="24">
        <v>60.616876761169102</v>
      </c>
      <c r="M260" s="24">
        <v>58.841320398698002</v>
      </c>
      <c r="N260" s="24">
        <v>57.469198679963498</v>
      </c>
      <c r="O260" s="24">
        <v>56.104619262665302</v>
      </c>
      <c r="P260" s="24">
        <v>55.044053680394697</v>
      </c>
      <c r="Q260" s="24">
        <v>30.225469011640399</v>
      </c>
      <c r="R260" s="25">
        <v>7.7687332219076302</v>
      </c>
    </row>
    <row r="261" spans="1:18" x14ac:dyDescent="0.3">
      <c r="A261" s="18">
        <v>34.648829429999999</v>
      </c>
      <c r="B261" s="23">
        <v>140.60383597648701</v>
      </c>
      <c r="C261" s="24">
        <v>103.11202104595</v>
      </c>
      <c r="D261" s="24">
        <v>87.850423827486793</v>
      </c>
      <c r="E261" s="24">
        <v>81.948931252937399</v>
      </c>
      <c r="F261" s="24">
        <v>78.255925592363496</v>
      </c>
      <c r="G261" s="24">
        <v>76.386579313119</v>
      </c>
      <c r="H261" s="24">
        <v>74.139558112265107</v>
      </c>
      <c r="I261" s="24">
        <v>70.237989004049098</v>
      </c>
      <c r="J261" s="24">
        <v>66.675199822344496</v>
      </c>
      <c r="K261" s="24">
        <v>63.5869233642849</v>
      </c>
      <c r="L261" s="24">
        <v>60.827661012182404</v>
      </c>
      <c r="M261" s="24">
        <v>59.067436369243502</v>
      </c>
      <c r="N261" s="24">
        <v>57.699461465553703</v>
      </c>
      <c r="O261" s="24">
        <v>56.338808794690301</v>
      </c>
      <c r="P261" s="24">
        <v>55.273299469831898</v>
      </c>
      <c r="Q261" s="24">
        <v>30.291849666442701</v>
      </c>
      <c r="R261" s="25">
        <v>7.7696455212173499</v>
      </c>
    </row>
    <row r="262" spans="1:18" x14ac:dyDescent="0.3">
      <c r="A262" s="18">
        <v>34.782608699999997</v>
      </c>
      <c r="B262" s="23">
        <v>140.642205922344</v>
      </c>
      <c r="C262" s="24">
        <v>103.256521127203</v>
      </c>
      <c r="D262" s="24">
        <v>87.869739363493395</v>
      </c>
      <c r="E262" s="24">
        <v>82.026733304112099</v>
      </c>
      <c r="F262" s="24">
        <v>78.393651173804002</v>
      </c>
      <c r="G262" s="24">
        <v>76.529418615483394</v>
      </c>
      <c r="H262" s="24">
        <v>74.281839031613899</v>
      </c>
      <c r="I262" s="24">
        <v>70.394077996328505</v>
      </c>
      <c r="J262" s="24">
        <v>66.846818431687197</v>
      </c>
      <c r="K262" s="24">
        <v>63.777908010476501</v>
      </c>
      <c r="L262" s="24">
        <v>61.038445263195797</v>
      </c>
      <c r="M262" s="24">
        <v>59.293552339788903</v>
      </c>
      <c r="N262" s="24">
        <v>57.929724251144002</v>
      </c>
      <c r="O262" s="24">
        <v>56.5729983267154</v>
      </c>
      <c r="P262" s="24">
        <v>55.502545259269098</v>
      </c>
      <c r="Q262" s="24">
        <v>30.358230321244999</v>
      </c>
      <c r="R262" s="25">
        <v>7.7705578205270696</v>
      </c>
    </row>
    <row r="263" spans="1:18" x14ac:dyDescent="0.3">
      <c r="A263" s="18">
        <v>34.916387960000002</v>
      </c>
      <c r="B263" s="23">
        <v>140.68057586820001</v>
      </c>
      <c r="C263" s="24">
        <v>103.401021208457</v>
      </c>
      <c r="D263" s="24">
        <v>87.889054899500096</v>
      </c>
      <c r="E263" s="24">
        <v>82.104535355286899</v>
      </c>
      <c r="F263" s="24">
        <v>78.531376755244594</v>
      </c>
      <c r="G263" s="24">
        <v>76.672257917847702</v>
      </c>
      <c r="H263" s="24">
        <v>74.424119950962606</v>
      </c>
      <c r="I263" s="24">
        <v>70.550166988607899</v>
      </c>
      <c r="J263" s="24">
        <v>67.018437041029898</v>
      </c>
      <c r="K263" s="24">
        <v>63.968892656667997</v>
      </c>
      <c r="L263" s="24">
        <v>61.249229514209098</v>
      </c>
      <c r="M263" s="24">
        <v>59.519668310334403</v>
      </c>
      <c r="N263" s="24">
        <v>58.159987036734201</v>
      </c>
      <c r="O263" s="24">
        <v>56.807187858740399</v>
      </c>
      <c r="P263" s="24">
        <v>55.731791048706398</v>
      </c>
      <c r="Q263" s="24">
        <v>30.424610976047301</v>
      </c>
      <c r="R263" s="25">
        <v>7.7714701198367901</v>
      </c>
    </row>
    <row r="264" spans="1:18" x14ac:dyDescent="0.3">
      <c r="A264" s="18">
        <v>35.050167219999999</v>
      </c>
      <c r="B264" s="23">
        <v>140.71894581405701</v>
      </c>
      <c r="C264" s="24">
        <v>103.54552128971</v>
      </c>
      <c r="D264" s="24">
        <v>87.908370435506697</v>
      </c>
      <c r="E264" s="24">
        <v>82.182337406461599</v>
      </c>
      <c r="F264" s="24">
        <v>78.669102336685</v>
      </c>
      <c r="G264" s="24">
        <v>76.815097220212095</v>
      </c>
      <c r="H264" s="24">
        <v>74.566400870311398</v>
      </c>
      <c r="I264" s="24">
        <v>70.706255980887306</v>
      </c>
      <c r="J264" s="24">
        <v>67.1900556503725</v>
      </c>
      <c r="K264" s="24">
        <v>64.159877302859599</v>
      </c>
      <c r="L264" s="24">
        <v>61.460013765222399</v>
      </c>
      <c r="M264" s="24">
        <v>59.745784280879903</v>
      </c>
      <c r="N264" s="24">
        <v>58.390249822324499</v>
      </c>
      <c r="O264" s="24">
        <v>57.041377390765497</v>
      </c>
      <c r="P264" s="24">
        <v>55.961036838143599</v>
      </c>
      <c r="Q264" s="24">
        <v>30.490991630849599</v>
      </c>
      <c r="R264" s="25">
        <v>7.7723824191465098</v>
      </c>
    </row>
    <row r="265" spans="1:18" x14ac:dyDescent="0.3">
      <c r="A265" s="18">
        <v>35.183946489999997</v>
      </c>
      <c r="B265" s="23">
        <v>140.75731575991401</v>
      </c>
      <c r="C265" s="24">
        <v>103.690021370963</v>
      </c>
      <c r="D265" s="24">
        <v>87.927685971513299</v>
      </c>
      <c r="E265" s="24">
        <v>82.260139457636299</v>
      </c>
      <c r="F265" s="24">
        <v>78.806827918125506</v>
      </c>
      <c r="G265" s="24">
        <v>76.957936522576503</v>
      </c>
      <c r="H265" s="24">
        <v>74.708681789660105</v>
      </c>
      <c r="I265" s="24">
        <v>70.862344973166699</v>
      </c>
      <c r="J265" s="24">
        <v>67.361674259715201</v>
      </c>
      <c r="K265" s="24">
        <v>64.350861949051193</v>
      </c>
      <c r="L265" s="24">
        <v>61.6707980162357</v>
      </c>
      <c r="M265" s="24">
        <v>59.971900251425303</v>
      </c>
      <c r="N265" s="24">
        <v>58.620512607914797</v>
      </c>
      <c r="O265" s="24">
        <v>57.275566922790503</v>
      </c>
      <c r="P265" s="24">
        <v>56.1902826275808</v>
      </c>
      <c r="Q265" s="24">
        <v>30.557372285651901</v>
      </c>
      <c r="R265" s="25">
        <v>7.7732947184562304</v>
      </c>
    </row>
    <row r="266" spans="1:18" x14ac:dyDescent="0.3">
      <c r="A266" s="18">
        <v>35.317725750000001</v>
      </c>
      <c r="B266" s="23">
        <v>140.79568570577101</v>
      </c>
      <c r="C266" s="24">
        <v>103.834521452217</v>
      </c>
      <c r="D266" s="24">
        <v>87.9470015075199</v>
      </c>
      <c r="E266" s="24">
        <v>82.337941508810999</v>
      </c>
      <c r="F266" s="24">
        <v>78.944553499566098</v>
      </c>
      <c r="G266" s="24">
        <v>77.100775824940797</v>
      </c>
      <c r="H266" s="24">
        <v>74.850962709008897</v>
      </c>
      <c r="I266" s="24">
        <v>71.018433965446107</v>
      </c>
      <c r="J266" s="24">
        <v>67.533292869057902</v>
      </c>
      <c r="K266" s="24">
        <v>64.541846595242703</v>
      </c>
      <c r="L266" s="24">
        <v>61.881582267249001</v>
      </c>
      <c r="M266" s="24">
        <v>60.198016221970803</v>
      </c>
      <c r="N266" s="24">
        <v>58.850775393505003</v>
      </c>
      <c r="O266" s="24">
        <v>57.509756454815602</v>
      </c>
      <c r="P266" s="24">
        <v>56.4195284170181</v>
      </c>
      <c r="Q266" s="24">
        <v>30.623752940454299</v>
      </c>
      <c r="R266" s="25">
        <v>7.7742070177659501</v>
      </c>
    </row>
    <row r="267" spans="1:18" x14ac:dyDescent="0.3">
      <c r="A267" s="18">
        <v>35.451505019999999</v>
      </c>
      <c r="B267" s="23">
        <v>140.83405565162801</v>
      </c>
      <c r="C267" s="24">
        <v>103.97902153347</v>
      </c>
      <c r="D267" s="24">
        <v>87.966317043526601</v>
      </c>
      <c r="E267" s="24">
        <v>82.415743559985799</v>
      </c>
      <c r="F267" s="24">
        <v>79.082279081006504</v>
      </c>
      <c r="G267" s="24">
        <v>77.243615127305205</v>
      </c>
      <c r="H267" s="24">
        <v>74.993243628357604</v>
      </c>
      <c r="I267" s="24">
        <v>71.1745229577255</v>
      </c>
      <c r="J267" s="24">
        <v>67.704911478400504</v>
      </c>
      <c r="K267" s="24">
        <v>64.732831241434297</v>
      </c>
      <c r="L267" s="24">
        <v>62.092366518262402</v>
      </c>
      <c r="M267" s="24">
        <v>60.424132192516304</v>
      </c>
      <c r="N267" s="24">
        <v>59.081038179095302</v>
      </c>
      <c r="O267" s="24">
        <v>57.7439459868406</v>
      </c>
      <c r="P267" s="24">
        <v>56.6487742064553</v>
      </c>
      <c r="Q267" s="24">
        <v>30.690133595256601</v>
      </c>
      <c r="R267" s="25">
        <v>7.7751193170756698</v>
      </c>
    </row>
    <row r="268" spans="1:18" x14ac:dyDescent="0.3">
      <c r="A268" s="18">
        <v>35.585284280000003</v>
      </c>
      <c r="B268" s="23">
        <v>140.87242559748501</v>
      </c>
      <c r="C268" s="24">
        <v>104.123521614723</v>
      </c>
      <c r="D268" s="24">
        <v>87.985632579533203</v>
      </c>
      <c r="E268" s="24">
        <v>82.493545611160499</v>
      </c>
      <c r="F268" s="24">
        <v>79.220004662447096</v>
      </c>
      <c r="G268" s="24">
        <v>77.386454429669598</v>
      </c>
      <c r="H268" s="24">
        <v>75.135524547706396</v>
      </c>
      <c r="I268" s="24">
        <v>71.330611950004894</v>
      </c>
      <c r="J268" s="24">
        <v>67.876530087743205</v>
      </c>
      <c r="K268" s="24">
        <v>64.923815887625807</v>
      </c>
      <c r="L268" s="24">
        <v>62.303150769275703</v>
      </c>
      <c r="M268" s="24">
        <v>60.650248163061804</v>
      </c>
      <c r="N268" s="24">
        <v>59.311300964685501</v>
      </c>
      <c r="O268" s="24">
        <v>57.978135518865699</v>
      </c>
      <c r="P268" s="24">
        <v>56.8780199958926</v>
      </c>
      <c r="Q268" s="24">
        <v>30.756514250058899</v>
      </c>
      <c r="R268" s="25">
        <v>7.7760316163853904</v>
      </c>
    </row>
    <row r="269" spans="1:18" x14ac:dyDescent="0.3">
      <c r="A269" s="18">
        <v>35.719063550000001</v>
      </c>
      <c r="B269" s="23">
        <v>140.910795543342</v>
      </c>
      <c r="C269" s="24">
        <v>104.268021695977</v>
      </c>
      <c r="D269" s="24">
        <v>88.004948115539804</v>
      </c>
      <c r="E269" s="24">
        <v>82.571347662335199</v>
      </c>
      <c r="F269" s="24">
        <v>79.357730243887502</v>
      </c>
      <c r="G269" s="24">
        <v>77.529293732033906</v>
      </c>
      <c r="H269" s="24">
        <v>75.277805467055103</v>
      </c>
      <c r="I269" s="24">
        <v>71.486700942284202</v>
      </c>
      <c r="J269" s="24">
        <v>68.048148697085907</v>
      </c>
      <c r="K269" s="24">
        <v>65.114800533817402</v>
      </c>
      <c r="L269" s="24">
        <v>62.513935020288997</v>
      </c>
      <c r="M269" s="24">
        <v>60.876364133607197</v>
      </c>
      <c r="N269" s="24">
        <v>59.541563750275799</v>
      </c>
      <c r="O269" s="24">
        <v>58.212325050890797</v>
      </c>
      <c r="P269" s="24">
        <v>57.107265785329801</v>
      </c>
      <c r="Q269" s="24">
        <v>30.822894904861201</v>
      </c>
      <c r="R269" s="25">
        <v>7.7769439156951101</v>
      </c>
    </row>
    <row r="270" spans="1:18" x14ac:dyDescent="0.3">
      <c r="A270" s="18">
        <v>35.852842809999999</v>
      </c>
      <c r="B270" s="23">
        <v>140.94916548919801</v>
      </c>
      <c r="C270" s="24">
        <v>104.41252177723</v>
      </c>
      <c r="D270" s="24">
        <v>88.024263651546406</v>
      </c>
      <c r="E270" s="24">
        <v>82.6491497135099</v>
      </c>
      <c r="F270" s="24">
        <v>79.495455825328094</v>
      </c>
      <c r="G270" s="24">
        <v>77.6721330343983</v>
      </c>
      <c r="H270" s="24">
        <v>75.420086386403895</v>
      </c>
      <c r="I270" s="24">
        <v>71.642789934563595</v>
      </c>
      <c r="J270" s="24">
        <v>68.219767306428494</v>
      </c>
      <c r="K270" s="24">
        <v>65.305785180008996</v>
      </c>
      <c r="L270" s="24">
        <v>62.724719271302298</v>
      </c>
      <c r="M270" s="24">
        <v>61.102480104152697</v>
      </c>
      <c r="N270" s="24">
        <v>59.771826535866097</v>
      </c>
      <c r="O270" s="24">
        <v>58.446514582915803</v>
      </c>
      <c r="P270" s="24">
        <v>57.336511574767002</v>
      </c>
      <c r="Q270" s="24">
        <v>30.889275559663499</v>
      </c>
      <c r="R270" s="25">
        <v>7.7778562150048298</v>
      </c>
    </row>
    <row r="271" spans="1:18" x14ac:dyDescent="0.3">
      <c r="A271" s="18">
        <v>35.986622070000003</v>
      </c>
      <c r="B271" s="23">
        <v>140.98753543505501</v>
      </c>
      <c r="C271" s="24">
        <v>104.55702185848401</v>
      </c>
      <c r="D271" s="24">
        <v>88.043579187553107</v>
      </c>
      <c r="E271" s="24">
        <v>82.726951764684699</v>
      </c>
      <c r="F271" s="24">
        <v>79.6331814067685</v>
      </c>
      <c r="G271" s="24">
        <v>77.814972336762693</v>
      </c>
      <c r="H271" s="24">
        <v>75.562367305752701</v>
      </c>
      <c r="I271" s="24">
        <v>71.798878926843003</v>
      </c>
      <c r="J271" s="24">
        <v>68.391385915771195</v>
      </c>
      <c r="K271" s="24">
        <v>65.496769826200506</v>
      </c>
      <c r="L271" s="24">
        <v>62.935503522315699</v>
      </c>
      <c r="M271" s="24">
        <v>61.328596074698197</v>
      </c>
      <c r="N271" s="24">
        <v>60.002089321456303</v>
      </c>
      <c r="O271" s="24">
        <v>58.680704114940902</v>
      </c>
      <c r="P271" s="24">
        <v>57.565757364204302</v>
      </c>
      <c r="Q271" s="24">
        <v>30.955656214465801</v>
      </c>
      <c r="R271" s="25">
        <v>7.7787685143145504</v>
      </c>
    </row>
    <row r="272" spans="1:18" x14ac:dyDescent="0.3">
      <c r="A272" s="18">
        <v>36.120401340000001</v>
      </c>
      <c r="B272" s="23">
        <v>141.02590538091201</v>
      </c>
      <c r="C272" s="24">
        <v>104.70152193973701</v>
      </c>
      <c r="D272" s="24">
        <v>88.062894723559694</v>
      </c>
      <c r="E272" s="24">
        <v>82.804753815859399</v>
      </c>
      <c r="F272" s="24">
        <v>79.770906988209006</v>
      </c>
      <c r="G272" s="24">
        <v>77.957811639127002</v>
      </c>
      <c r="H272" s="24">
        <v>75.704648225101394</v>
      </c>
      <c r="I272" s="24">
        <v>71.954967919122396</v>
      </c>
      <c r="J272" s="24">
        <v>68.563004525113897</v>
      </c>
      <c r="K272" s="24">
        <v>65.687754472392101</v>
      </c>
      <c r="L272" s="24">
        <v>63.146287773329</v>
      </c>
      <c r="M272" s="24">
        <v>61.554712045243697</v>
      </c>
      <c r="N272" s="24">
        <v>60.232352107046601</v>
      </c>
      <c r="O272" s="24">
        <v>58.914893646965901</v>
      </c>
      <c r="P272" s="24">
        <v>57.795003153641503</v>
      </c>
      <c r="Q272" s="24">
        <v>31.022036869268199</v>
      </c>
      <c r="R272" s="25">
        <v>7.7796808136242701</v>
      </c>
    </row>
    <row r="273" spans="1:18" x14ac:dyDescent="0.3">
      <c r="A273" s="18">
        <v>36.254180599999998</v>
      </c>
      <c r="B273" s="23">
        <v>141.06427532676901</v>
      </c>
      <c r="C273" s="24">
        <v>104.84602202099001</v>
      </c>
      <c r="D273" s="24">
        <v>88.082210259566295</v>
      </c>
      <c r="E273" s="24">
        <v>82.8825558670341</v>
      </c>
      <c r="F273" s="24">
        <v>79.908632569649598</v>
      </c>
      <c r="G273" s="24">
        <v>78.100650941491395</v>
      </c>
      <c r="H273" s="24">
        <v>75.846929144450201</v>
      </c>
      <c r="I273" s="24">
        <v>72.111056911401803</v>
      </c>
      <c r="J273" s="24">
        <v>68.734623134456498</v>
      </c>
      <c r="K273" s="24">
        <v>65.878739118583695</v>
      </c>
      <c r="L273" s="24">
        <v>63.357072024342301</v>
      </c>
      <c r="M273" s="24">
        <v>61.780828015789098</v>
      </c>
      <c r="N273" s="24">
        <v>60.4626148926368</v>
      </c>
      <c r="O273" s="24">
        <v>59.149083178990999</v>
      </c>
      <c r="P273" s="24">
        <v>58.024248943078703</v>
      </c>
      <c r="Q273" s="24">
        <v>31.088417524070501</v>
      </c>
      <c r="R273" s="25">
        <v>7.7805931129339898</v>
      </c>
    </row>
    <row r="274" spans="1:18" x14ac:dyDescent="0.3">
      <c r="A274" s="18">
        <v>36.387959870000003</v>
      </c>
      <c r="B274" s="23">
        <v>141.10264527262601</v>
      </c>
      <c r="C274" s="24">
        <v>104.990522102244</v>
      </c>
      <c r="D274" s="24">
        <v>88.101525795572996</v>
      </c>
      <c r="E274" s="24">
        <v>82.9603579182088</v>
      </c>
      <c r="F274" s="24">
        <v>80.046358151090004</v>
      </c>
      <c r="G274" s="24">
        <v>78.243490243855803</v>
      </c>
      <c r="H274" s="24">
        <v>75.989210063798893</v>
      </c>
      <c r="I274" s="24">
        <v>72.267145903681197</v>
      </c>
      <c r="J274" s="24">
        <v>68.9062417437992</v>
      </c>
      <c r="K274" s="24">
        <v>66.069723764775205</v>
      </c>
      <c r="L274" s="24">
        <v>63.567856275355602</v>
      </c>
      <c r="M274" s="24">
        <v>62.006943986334598</v>
      </c>
      <c r="N274" s="24">
        <v>60.692877678227099</v>
      </c>
      <c r="O274" s="24">
        <v>59.383272711015998</v>
      </c>
      <c r="P274" s="24">
        <v>58.253494732516003</v>
      </c>
      <c r="Q274" s="24">
        <v>31.154798178872799</v>
      </c>
      <c r="R274" s="25">
        <v>7.7815054122437104</v>
      </c>
    </row>
    <row r="275" spans="1:18" x14ac:dyDescent="0.3">
      <c r="A275" s="18">
        <v>36.52173913</v>
      </c>
      <c r="B275" s="23">
        <v>141.14101521848301</v>
      </c>
      <c r="C275" s="24">
        <v>105.135022183497</v>
      </c>
      <c r="D275" s="24">
        <v>88.120841331579598</v>
      </c>
      <c r="E275" s="24">
        <v>83.038159969383599</v>
      </c>
      <c r="F275" s="24">
        <v>80.184083732530596</v>
      </c>
      <c r="G275" s="24">
        <v>78.386329546220097</v>
      </c>
      <c r="H275" s="24">
        <v>76.1314909831477</v>
      </c>
      <c r="I275" s="24">
        <v>72.423234895960604</v>
      </c>
      <c r="J275" s="24">
        <v>69.077860353141901</v>
      </c>
      <c r="K275" s="24">
        <v>66.260708410966799</v>
      </c>
      <c r="L275" s="24">
        <v>63.778640526369003</v>
      </c>
      <c r="M275" s="24">
        <v>62.233059956880098</v>
      </c>
      <c r="N275" s="24">
        <v>60.923140463817397</v>
      </c>
      <c r="O275" s="24">
        <v>59.617462243041103</v>
      </c>
      <c r="P275" s="24">
        <v>58.482740521953197</v>
      </c>
      <c r="Q275" s="24">
        <v>31.221178833675101</v>
      </c>
      <c r="R275" s="25">
        <v>7.7824177115534301</v>
      </c>
    </row>
    <row r="276" spans="1:18" x14ac:dyDescent="0.3">
      <c r="A276" s="18">
        <v>36.655518389999997</v>
      </c>
      <c r="B276" s="23">
        <v>141.17938516433901</v>
      </c>
      <c r="C276" s="24">
        <v>105.27952226475</v>
      </c>
      <c r="D276" s="24">
        <v>88.140156867586199</v>
      </c>
      <c r="E276" s="24">
        <v>83.1159620205583</v>
      </c>
      <c r="F276" s="24">
        <v>80.321809313971102</v>
      </c>
      <c r="G276" s="24">
        <v>78.529168848584504</v>
      </c>
      <c r="H276" s="24">
        <v>76.273771902496406</v>
      </c>
      <c r="I276" s="24">
        <v>72.579323888239998</v>
      </c>
      <c r="J276" s="24">
        <v>69.249478962484602</v>
      </c>
      <c r="K276" s="24">
        <v>66.451693057158295</v>
      </c>
      <c r="L276" s="24">
        <v>63.989424777382297</v>
      </c>
      <c r="M276" s="24">
        <v>62.459175927425498</v>
      </c>
      <c r="N276" s="24">
        <v>61.153403249407603</v>
      </c>
      <c r="O276" s="24">
        <v>59.851651775066102</v>
      </c>
      <c r="P276" s="24">
        <v>58.711986311390397</v>
      </c>
      <c r="Q276" s="24">
        <v>31.287559488477399</v>
      </c>
      <c r="R276" s="25">
        <v>7.7833300108631498</v>
      </c>
    </row>
    <row r="277" spans="1:18" x14ac:dyDescent="0.3">
      <c r="A277" s="18">
        <v>36.789297660000003</v>
      </c>
      <c r="B277" s="23">
        <v>141.21775511019601</v>
      </c>
      <c r="C277" s="24">
        <v>105.42402234600399</v>
      </c>
      <c r="D277" s="24">
        <v>88.159472403592801</v>
      </c>
      <c r="E277" s="24">
        <v>83.193764071733</v>
      </c>
      <c r="F277" s="24">
        <v>80.459534895411593</v>
      </c>
      <c r="G277" s="24">
        <v>78.672008150948898</v>
      </c>
      <c r="H277" s="24">
        <v>76.416052821845199</v>
      </c>
      <c r="I277" s="24">
        <v>72.735412880519306</v>
      </c>
      <c r="J277" s="24">
        <v>69.421097571827204</v>
      </c>
      <c r="K277" s="24">
        <v>66.642677703349904</v>
      </c>
      <c r="L277" s="24">
        <v>64.200209028395605</v>
      </c>
      <c r="M277" s="24">
        <v>62.685291897970998</v>
      </c>
      <c r="N277" s="24">
        <v>61.383666034997901</v>
      </c>
      <c r="O277" s="24">
        <v>60.085841307091201</v>
      </c>
      <c r="P277" s="24">
        <v>58.941232100827698</v>
      </c>
      <c r="Q277" s="24">
        <v>31.353940143279701</v>
      </c>
      <c r="R277" s="25">
        <v>7.7842423101728704</v>
      </c>
    </row>
    <row r="278" spans="1:18" x14ac:dyDescent="0.3">
      <c r="A278" s="18">
        <v>36.92307692</v>
      </c>
      <c r="B278" s="23">
        <v>141.25612505605301</v>
      </c>
      <c r="C278" s="24">
        <v>105.56852242725699</v>
      </c>
      <c r="D278" s="24">
        <v>88.178787939599502</v>
      </c>
      <c r="E278" s="24">
        <v>83.2715661229077</v>
      </c>
      <c r="F278" s="24">
        <v>80.597260476852</v>
      </c>
      <c r="G278" s="24">
        <v>78.814847453313206</v>
      </c>
      <c r="H278" s="24">
        <v>76.558333741193906</v>
      </c>
      <c r="I278" s="24">
        <v>72.891501872798699</v>
      </c>
      <c r="J278" s="24">
        <v>69.592716181169905</v>
      </c>
      <c r="K278" s="24">
        <v>66.833662349541498</v>
      </c>
      <c r="L278" s="24">
        <v>64.410993279408899</v>
      </c>
      <c r="M278" s="24">
        <v>62.911407868516498</v>
      </c>
      <c r="N278" s="24">
        <v>61.6139288205882</v>
      </c>
      <c r="O278" s="24">
        <v>60.3200308391162</v>
      </c>
      <c r="P278" s="24">
        <v>59.170477890264898</v>
      </c>
      <c r="Q278" s="24">
        <v>31.420320798081999</v>
      </c>
      <c r="R278" s="25">
        <v>7.7851546094825901</v>
      </c>
    </row>
    <row r="279" spans="1:18" x14ac:dyDescent="0.3">
      <c r="A279" s="18">
        <v>37.056856189999998</v>
      </c>
      <c r="B279" s="23">
        <v>141.29449500191001</v>
      </c>
      <c r="C279" s="24">
        <v>105.713022508511</v>
      </c>
      <c r="D279" s="24">
        <v>88.198103475606104</v>
      </c>
      <c r="E279" s="24">
        <v>83.3493681740825</v>
      </c>
      <c r="F279" s="24">
        <v>80.734986058292506</v>
      </c>
      <c r="G279" s="24">
        <v>78.957686755677599</v>
      </c>
      <c r="H279" s="24">
        <v>76.700614660542698</v>
      </c>
      <c r="I279" s="24">
        <v>73.047590865078107</v>
      </c>
      <c r="J279" s="24">
        <v>69.764334790512507</v>
      </c>
      <c r="K279" s="24">
        <v>67.024646995732994</v>
      </c>
      <c r="L279" s="24">
        <v>64.621777530422307</v>
      </c>
      <c r="M279" s="24">
        <v>63.137523839061998</v>
      </c>
      <c r="N279" s="24">
        <v>61.844191606178399</v>
      </c>
      <c r="O279" s="24">
        <v>60.554220371141298</v>
      </c>
      <c r="P279" s="24">
        <v>59.399723679702099</v>
      </c>
      <c r="Q279" s="24">
        <v>31.4867014528844</v>
      </c>
      <c r="R279" s="25">
        <v>7.7860669087923</v>
      </c>
    </row>
    <row r="280" spans="1:18" x14ac:dyDescent="0.3">
      <c r="A280" s="18">
        <v>37.190635450000002</v>
      </c>
      <c r="B280" s="23">
        <v>141.33286494776701</v>
      </c>
      <c r="C280" s="24">
        <v>105.857522589764</v>
      </c>
      <c r="D280" s="24">
        <v>88.217419011612705</v>
      </c>
      <c r="E280" s="24">
        <v>83.4271702252572</v>
      </c>
      <c r="F280" s="24">
        <v>80.872711639733097</v>
      </c>
      <c r="G280" s="24">
        <v>79.100526058041893</v>
      </c>
      <c r="H280" s="24">
        <v>76.842895579891405</v>
      </c>
      <c r="I280" s="24">
        <v>73.2036798573575</v>
      </c>
      <c r="J280" s="24">
        <v>69.935953399855194</v>
      </c>
      <c r="K280" s="24">
        <v>67.215631641924602</v>
      </c>
      <c r="L280" s="24">
        <v>64.832561781435601</v>
      </c>
      <c r="M280" s="24">
        <v>63.363639809607399</v>
      </c>
      <c r="N280" s="24">
        <v>62.074454391768697</v>
      </c>
      <c r="O280" s="24">
        <v>60.788409903166396</v>
      </c>
      <c r="P280" s="24">
        <v>59.628969469139399</v>
      </c>
      <c r="Q280" s="24">
        <v>31.553082107686699</v>
      </c>
      <c r="R280" s="25">
        <v>7.7869792081020197</v>
      </c>
    </row>
    <row r="281" spans="1:18" x14ac:dyDescent="0.3">
      <c r="A281" s="18">
        <v>37.32441472</v>
      </c>
      <c r="B281" s="23">
        <v>141.37123489362401</v>
      </c>
      <c r="C281" s="24">
        <v>106.002022671017</v>
      </c>
      <c r="D281" s="24">
        <v>88.236734547619307</v>
      </c>
      <c r="E281" s="24">
        <v>83.5049722764319</v>
      </c>
      <c r="F281" s="24">
        <v>81.010437221173603</v>
      </c>
      <c r="G281" s="24">
        <v>79.243365360406301</v>
      </c>
      <c r="H281" s="24">
        <v>76.985176499240197</v>
      </c>
      <c r="I281" s="24">
        <v>73.359768849636893</v>
      </c>
      <c r="J281" s="24">
        <v>70.107572009197895</v>
      </c>
      <c r="K281" s="24">
        <v>67.406616288116098</v>
      </c>
      <c r="L281" s="24">
        <v>65.043346032448895</v>
      </c>
      <c r="M281" s="24">
        <v>63.589755780152899</v>
      </c>
      <c r="N281" s="24">
        <v>62.304717177358903</v>
      </c>
      <c r="O281" s="24">
        <v>61.022599435191403</v>
      </c>
      <c r="P281" s="24">
        <v>59.8582152585766</v>
      </c>
      <c r="Q281" s="24">
        <v>31.619462762489</v>
      </c>
      <c r="R281" s="25">
        <v>7.7878915074117403</v>
      </c>
    </row>
    <row r="282" spans="1:18" x14ac:dyDescent="0.3">
      <c r="A282" s="18">
        <v>37.458193979999997</v>
      </c>
      <c r="B282" s="23">
        <v>141.40960483948101</v>
      </c>
      <c r="C282" s="24">
        <v>106.146522752271</v>
      </c>
      <c r="D282" s="24">
        <v>88.256050083625993</v>
      </c>
      <c r="E282" s="24">
        <v>83.5827743276066</v>
      </c>
      <c r="F282" s="24">
        <v>81.148162802614095</v>
      </c>
      <c r="G282" s="24">
        <v>79.386204662770695</v>
      </c>
      <c r="H282" s="24">
        <v>77.127457418588904</v>
      </c>
      <c r="I282" s="24">
        <v>73.515857841916301</v>
      </c>
      <c r="J282" s="24">
        <v>70.279190618540596</v>
      </c>
      <c r="K282" s="24">
        <v>67.597600934307707</v>
      </c>
      <c r="L282" s="24">
        <v>65.254130283462203</v>
      </c>
      <c r="M282" s="24">
        <v>63.815871750698399</v>
      </c>
      <c r="N282" s="24">
        <v>62.534979962949201</v>
      </c>
      <c r="O282" s="24">
        <v>61.256788967216401</v>
      </c>
      <c r="P282" s="24">
        <v>60.0874610480138</v>
      </c>
      <c r="Q282" s="24">
        <v>31.685843417291299</v>
      </c>
      <c r="R282" s="25">
        <v>7.78880380672146</v>
      </c>
    </row>
    <row r="283" spans="1:18" x14ac:dyDescent="0.3">
      <c r="A283" s="18">
        <v>37.591973240000002</v>
      </c>
      <c r="B283" s="23">
        <v>141.44797478533701</v>
      </c>
      <c r="C283" s="24">
        <v>106.291022833524</v>
      </c>
      <c r="D283" s="24">
        <v>88.275365619632595</v>
      </c>
      <c r="E283" s="24">
        <v>83.6605763787813</v>
      </c>
      <c r="F283" s="24">
        <v>81.285888384054601</v>
      </c>
      <c r="G283" s="24">
        <v>79.529043965135003</v>
      </c>
      <c r="H283" s="24">
        <v>77.269738337937696</v>
      </c>
      <c r="I283" s="24">
        <v>73.671946834195694</v>
      </c>
      <c r="J283" s="24">
        <v>70.450809227883198</v>
      </c>
      <c r="K283" s="24">
        <v>67.788585580499301</v>
      </c>
      <c r="L283" s="24">
        <v>65.464914534475596</v>
      </c>
      <c r="M283" s="24">
        <v>64.0419877212438</v>
      </c>
      <c r="N283" s="24">
        <v>62.765242748539499</v>
      </c>
      <c r="O283" s="24">
        <v>61.4909784992415</v>
      </c>
      <c r="P283" s="24">
        <v>60.3167068374511</v>
      </c>
      <c r="Q283" s="24">
        <v>31.7522240720936</v>
      </c>
      <c r="R283" s="25">
        <v>7.7897161060311797</v>
      </c>
    </row>
    <row r="284" spans="1:18" x14ac:dyDescent="0.3">
      <c r="A284" s="18">
        <v>37.72575251</v>
      </c>
      <c r="B284" s="23">
        <v>141.48634473119401</v>
      </c>
      <c r="C284" s="24">
        <v>106.435522914777</v>
      </c>
      <c r="D284" s="24">
        <v>88.294681155639196</v>
      </c>
      <c r="E284" s="24">
        <v>83.7383784299561</v>
      </c>
      <c r="F284" s="24">
        <v>81.423613965495093</v>
      </c>
      <c r="G284" s="24">
        <v>79.671883267499396</v>
      </c>
      <c r="H284" s="24">
        <v>77.412019257286502</v>
      </c>
      <c r="I284" s="24">
        <v>73.828035826475102</v>
      </c>
      <c r="J284" s="24">
        <v>70.622427837225899</v>
      </c>
      <c r="K284" s="24">
        <v>67.979570226690797</v>
      </c>
      <c r="L284" s="24">
        <v>65.675698785488905</v>
      </c>
      <c r="M284" s="24">
        <v>64.268103691789307</v>
      </c>
      <c r="N284" s="24">
        <v>62.995505534129698</v>
      </c>
      <c r="O284" s="24">
        <v>61.725168031266598</v>
      </c>
      <c r="P284" s="24">
        <v>60.545952626888301</v>
      </c>
      <c r="Q284" s="24">
        <v>31.818604726895899</v>
      </c>
      <c r="R284" s="25">
        <v>7.7906284053409003</v>
      </c>
    </row>
    <row r="285" spans="1:18" x14ac:dyDescent="0.3">
      <c r="A285" s="18">
        <v>37.859531769999997</v>
      </c>
      <c r="B285" s="23">
        <v>141.52471467705101</v>
      </c>
      <c r="C285" s="24">
        <v>106.580022996031</v>
      </c>
      <c r="D285" s="24">
        <v>88.313996691645897</v>
      </c>
      <c r="E285" s="24">
        <v>83.8161804811308</v>
      </c>
      <c r="F285" s="24">
        <v>81.561339546935599</v>
      </c>
      <c r="G285" s="24">
        <v>79.814722569863804</v>
      </c>
      <c r="H285" s="24">
        <v>77.554300176635195</v>
      </c>
      <c r="I285" s="24">
        <v>73.984124818754395</v>
      </c>
      <c r="J285" s="24">
        <v>70.794046446568601</v>
      </c>
      <c r="K285" s="24">
        <v>68.170554872882406</v>
      </c>
      <c r="L285" s="24">
        <v>65.886483036502199</v>
      </c>
      <c r="M285" s="24">
        <v>64.4942196623348</v>
      </c>
      <c r="N285" s="24">
        <v>63.225768319719997</v>
      </c>
      <c r="O285" s="24">
        <v>61.959357563291597</v>
      </c>
      <c r="P285" s="24">
        <v>60.775198416325601</v>
      </c>
      <c r="Q285" s="24">
        <v>31.884985381698201</v>
      </c>
      <c r="R285" s="25">
        <v>7.79154070465062</v>
      </c>
    </row>
    <row r="286" spans="1:18" x14ac:dyDescent="0.3">
      <c r="A286" s="18">
        <v>37.993311040000002</v>
      </c>
      <c r="B286" s="23">
        <v>141.56308462290801</v>
      </c>
      <c r="C286" s="24">
        <v>106.724523077284</v>
      </c>
      <c r="D286" s="24">
        <v>88.333312227652499</v>
      </c>
      <c r="E286" s="24">
        <v>83.8939825323055</v>
      </c>
      <c r="F286" s="24">
        <v>81.699065128376006</v>
      </c>
      <c r="G286" s="24">
        <v>79.957561872228098</v>
      </c>
      <c r="H286" s="24">
        <v>77.696581095984001</v>
      </c>
      <c r="I286" s="24">
        <v>74.140213811033803</v>
      </c>
      <c r="J286" s="24">
        <v>70.965665055911202</v>
      </c>
      <c r="K286" s="24">
        <v>68.361539519073901</v>
      </c>
      <c r="L286" s="24">
        <v>66.097267287515507</v>
      </c>
      <c r="M286" s="24">
        <v>64.720335632880307</v>
      </c>
      <c r="N286" s="24">
        <v>63.456031105310302</v>
      </c>
      <c r="O286" s="24">
        <v>62.193547095316703</v>
      </c>
      <c r="P286" s="24">
        <v>61.004444205762802</v>
      </c>
      <c r="Q286" s="24">
        <v>31.951366036500598</v>
      </c>
      <c r="R286" s="25">
        <v>7.7924530039603397</v>
      </c>
    </row>
    <row r="287" spans="1:18" x14ac:dyDescent="0.3">
      <c r="A287" s="18">
        <v>38.127090299999999</v>
      </c>
      <c r="B287" s="23">
        <v>141.60145456876501</v>
      </c>
      <c r="C287" s="24">
        <v>106.869023158538</v>
      </c>
      <c r="D287" s="24">
        <v>88.3526277636591</v>
      </c>
      <c r="E287" s="24">
        <v>83.971784583480201</v>
      </c>
      <c r="F287" s="24">
        <v>81.836790709816597</v>
      </c>
      <c r="G287" s="24">
        <v>80.100401174592506</v>
      </c>
      <c r="H287" s="24">
        <v>77.838862015332694</v>
      </c>
      <c r="I287" s="24">
        <v>74.296302803313196</v>
      </c>
      <c r="J287" s="24">
        <v>71.137283665253904</v>
      </c>
      <c r="K287" s="24">
        <v>68.552524165265496</v>
      </c>
      <c r="L287" s="24">
        <v>66.308051538528801</v>
      </c>
      <c r="M287" s="24">
        <v>64.9464516034257</v>
      </c>
      <c r="N287" s="24">
        <v>63.686293890900501</v>
      </c>
      <c r="O287" s="24">
        <v>62.427736627341702</v>
      </c>
      <c r="P287" s="24">
        <v>61.233689995200002</v>
      </c>
      <c r="Q287" s="24">
        <v>32.017746691302897</v>
      </c>
      <c r="R287" s="25">
        <v>7.7933653032700603</v>
      </c>
    </row>
    <row r="288" spans="1:18" x14ac:dyDescent="0.3">
      <c r="A288" s="18">
        <v>38.260869569999997</v>
      </c>
      <c r="B288" s="23">
        <v>141.63982451462201</v>
      </c>
      <c r="C288" s="24">
        <v>107.013523239791</v>
      </c>
      <c r="D288" s="24">
        <v>88.371943299665702</v>
      </c>
      <c r="E288" s="24">
        <v>84.049586634655</v>
      </c>
      <c r="F288" s="24">
        <v>81.974516291257004</v>
      </c>
      <c r="G288" s="24">
        <v>80.243240476956899</v>
      </c>
      <c r="H288" s="24">
        <v>77.9811429346815</v>
      </c>
      <c r="I288" s="24">
        <v>74.452391795592604</v>
      </c>
      <c r="J288" s="24">
        <v>71.308902274596605</v>
      </c>
      <c r="K288" s="24">
        <v>68.743508811457104</v>
      </c>
      <c r="L288" s="24">
        <v>66.518835789542194</v>
      </c>
      <c r="M288" s="24">
        <v>65.172567573971193</v>
      </c>
      <c r="N288" s="24">
        <v>63.916556676490799</v>
      </c>
      <c r="O288" s="24">
        <v>62.6619261593668</v>
      </c>
      <c r="P288" s="24">
        <v>61.462935784637303</v>
      </c>
      <c r="Q288" s="24">
        <v>32.084127346105198</v>
      </c>
      <c r="R288" s="25">
        <v>7.79427760257978</v>
      </c>
    </row>
    <row r="289" spans="1:18" x14ac:dyDescent="0.3">
      <c r="A289" s="18">
        <v>38.394648830000001</v>
      </c>
      <c r="B289" s="23">
        <v>141.67819446047801</v>
      </c>
      <c r="C289" s="24">
        <v>107.158023321044</v>
      </c>
      <c r="D289" s="24">
        <v>88.391258835672403</v>
      </c>
      <c r="E289" s="24">
        <v>84.1273886858297</v>
      </c>
      <c r="F289" s="24">
        <v>82.112241872697595</v>
      </c>
      <c r="G289" s="24">
        <v>80.386079779321193</v>
      </c>
      <c r="H289" s="24">
        <v>78.123423854030193</v>
      </c>
      <c r="I289" s="24">
        <v>74.608480787871997</v>
      </c>
      <c r="J289" s="24">
        <v>71.480520883939207</v>
      </c>
      <c r="K289" s="24">
        <v>68.9344934576486</v>
      </c>
      <c r="L289" s="24">
        <v>66.729620040555503</v>
      </c>
      <c r="M289" s="24">
        <v>65.3986835445167</v>
      </c>
      <c r="N289" s="24">
        <v>64.146819462080998</v>
      </c>
      <c r="O289" s="24">
        <v>62.896115691391799</v>
      </c>
      <c r="P289" s="24">
        <v>61.692181574074503</v>
      </c>
      <c r="Q289" s="24">
        <v>32.1505080009075</v>
      </c>
      <c r="R289" s="25">
        <v>7.7951899018894997</v>
      </c>
    </row>
    <row r="290" spans="1:18" x14ac:dyDescent="0.3">
      <c r="A290" s="18">
        <v>38.528428089999998</v>
      </c>
      <c r="B290" s="23">
        <v>141.71656440633501</v>
      </c>
      <c r="C290" s="24">
        <v>107.30252340229799</v>
      </c>
      <c r="D290" s="24">
        <v>88.410574371679004</v>
      </c>
      <c r="E290" s="24">
        <v>84.205190737004401</v>
      </c>
      <c r="F290" s="24">
        <v>82.249967454138101</v>
      </c>
      <c r="G290" s="24">
        <v>80.528919081685601</v>
      </c>
      <c r="H290" s="24">
        <v>78.265704773378999</v>
      </c>
      <c r="I290" s="24">
        <v>74.764569780151405</v>
      </c>
      <c r="J290" s="24">
        <v>71.652139493281894</v>
      </c>
      <c r="K290" s="24">
        <v>69.125478103840194</v>
      </c>
      <c r="L290" s="24">
        <v>66.940404291568797</v>
      </c>
      <c r="M290" s="24">
        <v>65.624799515062193</v>
      </c>
      <c r="N290" s="24">
        <v>64.377082247671296</v>
      </c>
      <c r="O290" s="24">
        <v>63.130305223416897</v>
      </c>
      <c r="P290" s="24">
        <v>61.921427363511697</v>
      </c>
      <c r="Q290" s="24">
        <v>32.216888655709802</v>
      </c>
      <c r="R290" s="25">
        <v>7.7961022011992203</v>
      </c>
    </row>
    <row r="291" spans="1:18" x14ac:dyDescent="0.3">
      <c r="A291" s="18">
        <v>38.662207359999996</v>
      </c>
      <c r="B291" s="23">
        <v>141.75493435219201</v>
      </c>
      <c r="C291" s="24">
        <v>107.44702348355101</v>
      </c>
      <c r="D291" s="24">
        <v>88.429889907685606</v>
      </c>
      <c r="E291" s="24">
        <v>84.282992788179101</v>
      </c>
      <c r="F291" s="24">
        <v>82.387693035578593</v>
      </c>
      <c r="G291" s="24">
        <v>80.671758384049994</v>
      </c>
      <c r="H291" s="24">
        <v>78.407985692727706</v>
      </c>
      <c r="I291" s="24">
        <v>74.920658772430798</v>
      </c>
      <c r="J291" s="24">
        <v>71.823758102624595</v>
      </c>
      <c r="K291" s="24">
        <v>69.316462750031704</v>
      </c>
      <c r="L291" s="24">
        <v>67.151188542582105</v>
      </c>
      <c r="M291" s="24">
        <v>65.850915485607601</v>
      </c>
      <c r="N291" s="24">
        <v>64.607345033261595</v>
      </c>
      <c r="O291" s="24">
        <v>63.364494755441903</v>
      </c>
      <c r="P291" s="24">
        <v>62.150673152948997</v>
      </c>
      <c r="Q291" s="24">
        <v>32.283269310512097</v>
      </c>
      <c r="R291" s="25">
        <v>7.79701450050894</v>
      </c>
    </row>
    <row r="292" spans="1:18" x14ac:dyDescent="0.3">
      <c r="A292" s="18">
        <v>38.795986620000001</v>
      </c>
      <c r="B292" s="23">
        <v>141.79330429804901</v>
      </c>
      <c r="C292" s="24">
        <v>107.59152356480401</v>
      </c>
      <c r="D292" s="24">
        <v>88.449205443692193</v>
      </c>
      <c r="E292" s="24">
        <v>84.3607948393539</v>
      </c>
      <c r="F292" s="24">
        <v>82.525418617019099</v>
      </c>
      <c r="G292" s="24">
        <v>80.814597686414302</v>
      </c>
      <c r="H292" s="24">
        <v>78.550266612076499</v>
      </c>
      <c r="I292" s="24">
        <v>75.076747764710206</v>
      </c>
      <c r="J292" s="24">
        <v>71.995376711967197</v>
      </c>
      <c r="K292" s="24">
        <v>69.507447396223299</v>
      </c>
      <c r="L292" s="24">
        <v>67.361972793595498</v>
      </c>
      <c r="M292" s="24">
        <v>66.077031456153094</v>
      </c>
      <c r="N292" s="24">
        <v>64.837607818851794</v>
      </c>
      <c r="O292" s="24">
        <v>63.598684287467002</v>
      </c>
      <c r="P292" s="24">
        <v>62.379918942386198</v>
      </c>
      <c r="Q292" s="24">
        <v>32.349649965314498</v>
      </c>
      <c r="R292" s="25">
        <v>7.7979267998186597</v>
      </c>
    </row>
    <row r="293" spans="1:18" x14ac:dyDescent="0.3">
      <c r="A293" s="18">
        <v>38.929765889999999</v>
      </c>
      <c r="B293" s="23">
        <v>141.83167424390601</v>
      </c>
      <c r="C293" s="24">
        <v>107.736023646058</v>
      </c>
      <c r="D293" s="24">
        <v>88.468520979698894</v>
      </c>
      <c r="E293" s="24">
        <v>84.438596890528601</v>
      </c>
      <c r="F293" s="24">
        <v>82.663144198459605</v>
      </c>
      <c r="G293" s="24">
        <v>80.957436988778696</v>
      </c>
      <c r="H293" s="24">
        <v>78.692547531425305</v>
      </c>
      <c r="I293" s="24">
        <v>75.232836756989499</v>
      </c>
      <c r="J293" s="24">
        <v>72.166995321309898</v>
      </c>
      <c r="K293" s="24">
        <v>69.698432042414893</v>
      </c>
      <c r="L293" s="24">
        <v>67.572757044608807</v>
      </c>
      <c r="M293" s="24">
        <v>66.303147426698601</v>
      </c>
      <c r="N293" s="24">
        <v>65.067870604442106</v>
      </c>
      <c r="O293" s="24">
        <v>63.832873819492001</v>
      </c>
      <c r="P293" s="24">
        <v>62.609164731823398</v>
      </c>
      <c r="Q293" s="24">
        <v>32.4160306201168</v>
      </c>
      <c r="R293" s="25">
        <v>7.7988390991283802</v>
      </c>
    </row>
    <row r="294" spans="1:18" x14ac:dyDescent="0.3">
      <c r="A294" s="18">
        <v>39.063545150000003</v>
      </c>
      <c r="B294" s="23">
        <v>141.87004418976301</v>
      </c>
      <c r="C294" s="24">
        <v>107.880523727311</v>
      </c>
      <c r="D294" s="24">
        <v>88.487836515705496</v>
      </c>
      <c r="E294" s="24">
        <v>84.516398941703301</v>
      </c>
      <c r="F294" s="24">
        <v>82.800869779900097</v>
      </c>
      <c r="G294" s="24">
        <v>81.100276291143103</v>
      </c>
      <c r="H294" s="24">
        <v>78.834828450773998</v>
      </c>
      <c r="I294" s="24">
        <v>75.388925749268907</v>
      </c>
      <c r="J294" s="24">
        <v>72.338613930652599</v>
      </c>
      <c r="K294" s="24">
        <v>69.889416688606403</v>
      </c>
      <c r="L294" s="24">
        <v>67.783541295622101</v>
      </c>
      <c r="M294" s="24">
        <v>66.529263397243994</v>
      </c>
      <c r="N294" s="24">
        <v>65.298133390032305</v>
      </c>
      <c r="O294" s="24">
        <v>64.067063351517106</v>
      </c>
      <c r="P294" s="24">
        <v>62.838410521260698</v>
      </c>
      <c r="Q294" s="24">
        <v>32.482411274919102</v>
      </c>
      <c r="R294" s="25">
        <v>7.7997513984380999</v>
      </c>
    </row>
    <row r="295" spans="1:18" x14ac:dyDescent="0.3">
      <c r="A295" s="18">
        <v>39.19732441</v>
      </c>
      <c r="B295" s="23">
        <v>141.88050000000899</v>
      </c>
      <c r="C295" s="24">
        <v>107.91989999945299</v>
      </c>
      <c r="D295" s="24">
        <v>88.493099999267301</v>
      </c>
      <c r="E295" s="24">
        <v>84.537600000648396</v>
      </c>
      <c r="F295" s="24">
        <v>82.838400000842597</v>
      </c>
      <c r="G295" s="24">
        <v>81.139200001037395</v>
      </c>
      <c r="H295" s="24">
        <v>78.873600001296595</v>
      </c>
      <c r="I295" s="24">
        <v>75.431459999665094</v>
      </c>
      <c r="J295" s="24">
        <v>72.385380001698493</v>
      </c>
      <c r="K295" s="24">
        <v>69.941460004693596</v>
      </c>
      <c r="L295" s="24">
        <v>67.840980004023294</v>
      </c>
      <c r="M295" s="24">
        <v>66.590879999217705</v>
      </c>
      <c r="N295" s="24">
        <v>65.360879999105705</v>
      </c>
      <c r="O295" s="24">
        <v>64.130879998993905</v>
      </c>
      <c r="P295" s="24">
        <v>62.900879998882303</v>
      </c>
      <c r="Q295" s="24">
        <v>32.500500003352698</v>
      </c>
      <c r="R295" s="25">
        <v>7.8</v>
      </c>
    </row>
    <row r="296" spans="1:18" x14ac:dyDescent="0.3">
      <c r="A296" s="18">
        <v>39.331103679999998</v>
      </c>
      <c r="B296" s="23">
        <v>141.88050000000899</v>
      </c>
      <c r="C296" s="24">
        <v>107.91989999945299</v>
      </c>
      <c r="D296" s="24">
        <v>88.493099999267301</v>
      </c>
      <c r="E296" s="24">
        <v>84.537600000648396</v>
      </c>
      <c r="F296" s="24">
        <v>82.838400000842597</v>
      </c>
      <c r="G296" s="24">
        <v>81.139200001037395</v>
      </c>
      <c r="H296" s="24">
        <v>78.873600001296595</v>
      </c>
      <c r="I296" s="24">
        <v>75.431459999665094</v>
      </c>
      <c r="J296" s="24">
        <v>72.385380001698493</v>
      </c>
      <c r="K296" s="24">
        <v>69.941460004693596</v>
      </c>
      <c r="L296" s="24">
        <v>67.840980004023294</v>
      </c>
      <c r="M296" s="24">
        <v>66.590879999217705</v>
      </c>
      <c r="N296" s="24">
        <v>65.360879999105705</v>
      </c>
      <c r="O296" s="24">
        <v>64.130879998993905</v>
      </c>
      <c r="P296" s="24">
        <v>62.900879998882303</v>
      </c>
      <c r="Q296" s="24">
        <v>32.500500003352698</v>
      </c>
      <c r="R296" s="25">
        <v>7.8</v>
      </c>
    </row>
    <row r="297" spans="1:18" x14ac:dyDescent="0.3">
      <c r="A297" s="18">
        <v>39.464882940000003</v>
      </c>
      <c r="B297" s="23">
        <v>141.88050000000899</v>
      </c>
      <c r="C297" s="24">
        <v>107.91989999945299</v>
      </c>
      <c r="D297" s="24">
        <v>88.493099999267301</v>
      </c>
      <c r="E297" s="24">
        <v>84.537600000648396</v>
      </c>
      <c r="F297" s="24">
        <v>82.838400000842597</v>
      </c>
      <c r="G297" s="24">
        <v>81.139200001037395</v>
      </c>
      <c r="H297" s="24">
        <v>78.873600001296595</v>
      </c>
      <c r="I297" s="24">
        <v>75.431459999665094</v>
      </c>
      <c r="J297" s="24">
        <v>72.385380001698493</v>
      </c>
      <c r="K297" s="24">
        <v>69.941460004693596</v>
      </c>
      <c r="L297" s="24">
        <v>67.840980004023294</v>
      </c>
      <c r="M297" s="24">
        <v>66.590879999217705</v>
      </c>
      <c r="N297" s="24">
        <v>65.360879999105705</v>
      </c>
      <c r="O297" s="24">
        <v>64.130879998993905</v>
      </c>
      <c r="P297" s="24">
        <v>62.900879998882303</v>
      </c>
      <c r="Q297" s="24">
        <v>32.500500003352698</v>
      </c>
      <c r="R297" s="25">
        <v>7.8</v>
      </c>
    </row>
    <row r="298" spans="1:18" x14ac:dyDescent="0.3">
      <c r="A298" s="18">
        <v>39.598662210000001</v>
      </c>
      <c r="B298" s="23">
        <v>141.88050000000899</v>
      </c>
      <c r="C298" s="24">
        <v>107.91989999945299</v>
      </c>
      <c r="D298" s="24">
        <v>88.493099999267301</v>
      </c>
      <c r="E298" s="24">
        <v>84.537600000648396</v>
      </c>
      <c r="F298" s="24">
        <v>82.838400000842597</v>
      </c>
      <c r="G298" s="24">
        <v>81.139200001037395</v>
      </c>
      <c r="H298" s="24">
        <v>78.873600001296595</v>
      </c>
      <c r="I298" s="24">
        <v>75.431459999665094</v>
      </c>
      <c r="J298" s="24">
        <v>72.385380001698493</v>
      </c>
      <c r="K298" s="24">
        <v>69.941460004693596</v>
      </c>
      <c r="L298" s="24">
        <v>67.840980004023294</v>
      </c>
      <c r="M298" s="24">
        <v>66.590879999217705</v>
      </c>
      <c r="N298" s="24">
        <v>65.360879999105705</v>
      </c>
      <c r="O298" s="24">
        <v>64.130879998993905</v>
      </c>
      <c r="P298" s="24">
        <v>62.900879998882303</v>
      </c>
      <c r="Q298" s="24">
        <v>32.500500003352698</v>
      </c>
      <c r="R298" s="25">
        <v>7.8</v>
      </c>
    </row>
    <row r="299" spans="1:18" x14ac:dyDescent="0.3">
      <c r="A299" s="18">
        <v>39.732441469999998</v>
      </c>
      <c r="B299" s="23">
        <v>141.88050000000899</v>
      </c>
      <c r="C299" s="24">
        <v>107.91989999945299</v>
      </c>
      <c r="D299" s="24">
        <v>88.493099999267301</v>
      </c>
      <c r="E299" s="24">
        <v>84.537600000648396</v>
      </c>
      <c r="F299" s="24">
        <v>82.838400000842597</v>
      </c>
      <c r="G299" s="24">
        <v>81.139200001037395</v>
      </c>
      <c r="H299" s="24">
        <v>78.873600001296595</v>
      </c>
      <c r="I299" s="24">
        <v>75.431459999665094</v>
      </c>
      <c r="J299" s="24">
        <v>72.385380001698493</v>
      </c>
      <c r="K299" s="24">
        <v>69.941460004693596</v>
      </c>
      <c r="L299" s="24">
        <v>67.840980004023294</v>
      </c>
      <c r="M299" s="24">
        <v>66.590879999217705</v>
      </c>
      <c r="N299" s="24">
        <v>65.360879999105705</v>
      </c>
      <c r="O299" s="24">
        <v>64.130879998993905</v>
      </c>
      <c r="P299" s="24">
        <v>62.900879998882303</v>
      </c>
      <c r="Q299" s="24">
        <v>32.500500003352698</v>
      </c>
      <c r="R299" s="25">
        <v>7.8</v>
      </c>
    </row>
    <row r="300" spans="1:18" x14ac:dyDescent="0.3">
      <c r="A300" s="18">
        <v>39.866220740000003</v>
      </c>
      <c r="B300" s="23">
        <v>141.88050000000899</v>
      </c>
      <c r="C300" s="24">
        <v>107.91989999945299</v>
      </c>
      <c r="D300" s="24">
        <v>88.493099999267301</v>
      </c>
      <c r="E300" s="24">
        <v>84.537600000648396</v>
      </c>
      <c r="F300" s="24">
        <v>82.838400000842597</v>
      </c>
      <c r="G300" s="24">
        <v>81.139200001037395</v>
      </c>
      <c r="H300" s="24">
        <v>78.873600001296595</v>
      </c>
      <c r="I300" s="24">
        <v>75.431459999665094</v>
      </c>
      <c r="J300" s="24">
        <v>72.385380001698493</v>
      </c>
      <c r="K300" s="24">
        <v>69.941460004693596</v>
      </c>
      <c r="L300" s="24">
        <v>67.840980004023294</v>
      </c>
      <c r="M300" s="24">
        <v>66.590879999217705</v>
      </c>
      <c r="N300" s="24">
        <v>65.360879999105705</v>
      </c>
      <c r="O300" s="24">
        <v>64.130879998993905</v>
      </c>
      <c r="P300" s="24">
        <v>62.900879998882303</v>
      </c>
      <c r="Q300" s="24">
        <v>32.500500003352698</v>
      </c>
      <c r="R300" s="25">
        <v>7.8</v>
      </c>
    </row>
    <row r="301" spans="1:18" ht="15" thickBot="1" x14ac:dyDescent="0.35">
      <c r="A301" s="19">
        <v>40</v>
      </c>
      <c r="B301" s="26">
        <v>141.88050000000899</v>
      </c>
      <c r="C301" s="27">
        <v>107.91989999945299</v>
      </c>
      <c r="D301" s="27">
        <v>88.493099999267301</v>
      </c>
      <c r="E301" s="27">
        <v>84.537600000648396</v>
      </c>
      <c r="F301" s="27">
        <v>82.838400000842597</v>
      </c>
      <c r="G301" s="27">
        <v>81.139200001037395</v>
      </c>
      <c r="H301" s="27">
        <v>78.873600001296595</v>
      </c>
      <c r="I301" s="27">
        <v>75.431459999665094</v>
      </c>
      <c r="J301" s="27">
        <v>72.385380001698493</v>
      </c>
      <c r="K301" s="27">
        <v>69.941460004693596</v>
      </c>
      <c r="L301" s="27">
        <v>67.840980004023294</v>
      </c>
      <c r="M301" s="27">
        <v>66.590879999217705</v>
      </c>
      <c r="N301" s="27">
        <v>65.360879999105705</v>
      </c>
      <c r="O301" s="27">
        <v>64.130879998993905</v>
      </c>
      <c r="P301" s="27">
        <v>62.900879998882303</v>
      </c>
      <c r="Q301" s="27">
        <v>32.500500003352698</v>
      </c>
      <c r="R301" s="28">
        <v>7.8</v>
      </c>
    </row>
  </sheetData>
  <conditionalFormatting sqref="B2:R301">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3</vt:i4>
      </vt:variant>
    </vt:vector>
  </HeadingPairs>
  <TitlesOfParts>
    <vt:vector size="3" baseType="lpstr">
      <vt:lpstr>Bassinbeskrivelse</vt:lpstr>
      <vt:lpstr>Bassindimensionering</vt:lpstr>
      <vt:lpstr>Bassinkurver</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Emil Nielsen</dc:creator>
  <cp:lastModifiedBy>Emil Nielsen</cp:lastModifiedBy>
  <dcterms:created xsi:type="dcterms:W3CDTF">2018-05-02T12:31:52Z</dcterms:created>
  <dcterms:modified xsi:type="dcterms:W3CDTF">2018-09-26T07:25:20Z</dcterms:modified>
</cp:coreProperties>
</file>
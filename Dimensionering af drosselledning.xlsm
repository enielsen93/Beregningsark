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enne_projektmappe" defaultThemeVersion="124226"/>
  <bookViews>
    <workbookView xWindow="480" yWindow="300" windowWidth="27840" windowHeight="14196"/>
  </bookViews>
  <sheets>
    <sheet name="Hovedark" sheetId="4" r:id="rId1"/>
    <sheet name="Brugervejledning" sheetId="5" r:id="rId2"/>
    <sheet name="Diameter" sheetId="6" state="hidden" r:id="rId3"/>
  </sheets>
  <definedNames>
    <definedName name="Areal" localSheetId="0">Hovedark!$B$7</definedName>
    <definedName name="Hastighed" localSheetId="0">Hovedark!$B$8</definedName>
    <definedName name="Højdetab" localSheetId="0">Hovedark!$B$33</definedName>
    <definedName name="Iterativ_forskel" localSheetId="0">Hovedark!$B$37</definedName>
    <definedName name="solver_adj" localSheetId="0" hidden="1">Hovedark!$B$8</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Hovedark!$B$37</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0</definedName>
    <definedName name="solver_ver" localSheetId="0" hidden="1">3</definedName>
    <definedName name="Tryk" localSheetId="0">Hovedark!$B$9</definedName>
    <definedName name="Trykcelle" localSheetId="0">Hovedark!$H$4</definedName>
  </definedNames>
  <calcPr calcId="145621"/>
</workbook>
</file>

<file path=xl/calcChain.xml><?xml version="1.0" encoding="utf-8"?>
<calcChain xmlns="http://schemas.openxmlformats.org/spreadsheetml/2006/main">
  <c r="B17" i="4" l="1"/>
  <c r="B10" i="4" l="1"/>
  <c r="B16" i="4" l="1"/>
  <c r="B7" i="5" l="1"/>
  <c r="B7" i="4" l="1"/>
  <c r="J9" i="4" l="1"/>
  <c r="J13" i="4"/>
  <c r="J17" i="4"/>
  <c r="J5" i="4"/>
  <c r="J6" i="4"/>
  <c r="J10" i="4"/>
  <c r="J14" i="4"/>
  <c r="J18" i="4"/>
  <c r="J7" i="4"/>
  <c r="J11" i="4"/>
  <c r="J15" i="4"/>
  <c r="J19" i="4"/>
  <c r="J8" i="4"/>
  <c r="J12" i="4"/>
  <c r="J16" i="4"/>
  <c r="J20" i="4"/>
  <c r="B21" i="4"/>
  <c r="B23" i="4" l="1"/>
  <c r="B24" i="4" s="1"/>
  <c r="B25" i="4" s="1"/>
  <c r="B26" i="4" s="1"/>
  <c r="B27" i="4" s="1"/>
  <c r="B28" i="4" s="1"/>
  <c r="B29" i="4" s="1"/>
  <c r="B30" i="4" s="1"/>
  <c r="B36" i="4" l="1"/>
  <c r="B37" i="4" s="1"/>
</calcChain>
</file>

<file path=xl/sharedStrings.xml><?xml version="1.0" encoding="utf-8"?>
<sst xmlns="http://schemas.openxmlformats.org/spreadsheetml/2006/main" count="78" uniqueCount="64">
  <si>
    <t>Tryk</t>
  </si>
  <si>
    <t>Enkelttab</t>
  </si>
  <si>
    <t>Hastighed</t>
  </si>
  <si>
    <t>Hydraulisk radius</t>
  </si>
  <si>
    <t>Reynolds tal</t>
  </si>
  <si>
    <t>Kinematisk viskositet</t>
  </si>
  <si>
    <t>m^2/s</t>
  </si>
  <si>
    <t>m</t>
  </si>
  <si>
    <t>Rørtab</t>
  </si>
  <si>
    <t>Energilinjegradient</t>
  </si>
  <si>
    <t>m^2</t>
  </si>
  <si>
    <t>m/s</t>
  </si>
  <si>
    <t>Samlet energitab</t>
  </si>
  <si>
    <t>2. iteration</t>
  </si>
  <si>
    <t>3. iteration</t>
  </si>
  <si>
    <t>4. iteration</t>
  </si>
  <si>
    <t>Dimensionering af drosselledning igennem Colebrook White</t>
  </si>
  <si>
    <t>Beregning af enkelttab</t>
  </si>
  <si>
    <t>Enkelttabskoefficienter (zeta):</t>
  </si>
  <si>
    <t>-</t>
  </si>
  <si>
    <t>Drosselledning:</t>
  </si>
  <si>
    <t>mm</t>
  </si>
  <si>
    <t>Samlet enkelttabskoefficient</t>
  </si>
  <si>
    <t>Beregning af friktionstab (Colebrook White):</t>
  </si>
  <si>
    <t>Antaget 10 grader vandtemperatur</t>
  </si>
  <si>
    <t>Ækvivalent sandruhed</t>
  </si>
  <si>
    <t>Friktionstal 1. iteration</t>
  </si>
  <si>
    <t>5. iteration</t>
  </si>
  <si>
    <t>m/m</t>
  </si>
  <si>
    <t>Iterativ forskel</t>
  </si>
  <si>
    <t>Beregning af samlet energitab:</t>
  </si>
  <si>
    <t>Resultater</t>
  </si>
  <si>
    <t>Vandføring [L/s]</t>
  </si>
  <si>
    <t>Hastighed &gt; 0</t>
  </si>
  <si>
    <t>Beregning af højdetab:</t>
  </si>
  <si>
    <t>Højdetab</t>
  </si>
  <si>
    <t>Skal udfyldes/redigeres</t>
  </si>
  <si>
    <t>Mellemresultater</t>
  </si>
  <si>
    <t>Iterativt tal - bør ikke ændres,</t>
  </si>
  <si>
    <t>og ikke pålidelig</t>
  </si>
  <si>
    <t>Af ENI</t>
  </si>
  <si>
    <t>Beregner vandføring igennem en drosselledning med fald ved en given trykkote. Trykkote er højden af vandspejlet over udløbskoten.
Gentagelsesperiode ift. trykkote (Kolonne H og I) kan udregnes ud fra et givent bassin igennem beregningsark "Beregning af trykkote ift. gentagelsesperiode".</t>
  </si>
  <si>
    <t>Tryk på "Beregn!" for at beregne.</t>
  </si>
  <si>
    <t>Standard 0.5</t>
  </si>
  <si>
    <t>Standard 1.1</t>
  </si>
  <si>
    <t>1) Indvendig diameter</t>
  </si>
  <si>
    <t>2) Længde</t>
  </si>
  <si>
    <t>7) Tryk [m]</t>
  </si>
  <si>
    <t>1) Invendig diameter</t>
  </si>
  <si>
    <t>Dette felt er den indvendige diameter af det kapacitetsbegrænsende udløb. 
For figuren nedenunder er det skarpkantet udløb kapacitetsbegrænsende - dermed er den indvendige diameter 200 mm.
Havde det skarpkantet udløb været større eller drosselledningen mindre, kunne drosselledningen have været kapacitetsbegrænsende. I så fald er den indvendige diameter diameteren af drosselledningen</t>
  </si>
  <si>
    <t>Der gælder det samme som for den ovenstående. Det er længden af den kapacitets
begrænsende udløb. For det skarpkantet udløb kan længden sættes lig 0, da friktionstabet her er uden betydning. Længden for drosselledningen er længden ned til der, hvor der sker en kapacitetsudvidelse. På tegningen løber Ø600 over i en Ø800, og det er der, drosselledningen stopper. 
Løber drosselledningen igennem en række brønde, tages der ikke forbehold for enkelttabet her.</t>
  </si>
  <si>
    <t>Manningtal til ækvivalent sandruhed:</t>
  </si>
  <si>
    <t>Manningtal</t>
  </si>
  <si>
    <t>Enkelttab fra udløb. Beskrevet som "Skarpkantet indløb i væg" i 
"Lærebog i Hydraulik," s. 189. Standardværdi 0.5.</t>
  </si>
  <si>
    <t>Hastighedsfordelingskoefficient, som udgør enkelttabet ifølge med en hastigheds-
forøgelse fra bassin til udløb. Standardværdi 1.1.</t>
  </si>
  <si>
    <t>Brugervejledning</t>
  </si>
  <si>
    <t>Ækvivalent sandruhed for røret. Anbefalede værdier fra projekthåndbog: Beton 1.5, plast 1, ler 2.3, grøft 146. Du kan regne fra Manningtal om til ækvivalent sandruhed igennem nedenstående:</t>
  </si>
  <si>
    <t>Indre diameter</t>
  </si>
  <si>
    <t>Ydre diameter</t>
  </si>
  <si>
    <t>3) Ækvivalent sandruhed</t>
  </si>
  <si>
    <t>4) Udløb</t>
  </si>
  <si>
    <t>5) Hastighedsændring</t>
  </si>
  <si>
    <t>Tværsnitsareal</t>
  </si>
  <si>
    <t>Hastighed [m/s]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</si>
</sst>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quot; mm&quot;"/>
  </numFmts>
  <fonts count="6" x14ac:knownFonts="1">
    <font>
      <sz val="10"/>
      <color theme="1"/>
      <name val="Trebuchet MS"/>
      <family val="2"/>
    </font>
    <font>
      <b/>
      <sz val="10"/>
      <color theme="1"/>
      <name val="Trebuchet MS"/>
      <family val="2"/>
    </font>
    <font>
      <i/>
      <sz val="10"/>
      <color theme="1"/>
      <name val="Trebuchet MS"/>
      <family val="2"/>
    </font>
    <font>
      <b/>
      <sz val="16"/>
      <color theme="1"/>
      <name val="Trebuchet MS"/>
      <family val="2"/>
    </font>
    <font>
      <b/>
      <sz val="24"/>
      <color rgb="FF000000"/>
      <name val="Trebuchet MS"/>
      <family val="2"/>
    </font>
    <font>
      <b/>
      <sz val="12"/>
      <color theme="1"/>
      <name val="Trebuchet MS"/>
      <family val="2"/>
    </font>
  </fonts>
  <fills count="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0" tint="-0.14999847407452621"/>
        <bgColor indexed="64"/>
      </patternFill>
    </fill>
    <fill>
      <patternFill patternType="solid">
        <fgColor theme="2" tint="-0.249977111117893"/>
        <bgColor indexed="64"/>
      </patternFill>
    </fill>
  </fills>
  <borders count="17">
    <border>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1">
    <xf numFmtId="0" fontId="0" fillId="0" borderId="0"/>
  </cellStyleXfs>
  <cellXfs count="57">
    <xf numFmtId="0" fontId="0" fillId="0" borderId="0" xfId="0"/>
    <xf numFmtId="0" fontId="1" fillId="0" borderId="0" xfId="0" applyFont="1"/>
    <xf numFmtId="0" fontId="2" fillId="0" borderId="0" xfId="0" applyFont="1"/>
    <xf numFmtId="2" fontId="0" fillId="0" borderId="0" xfId="0" applyNumberFormat="1"/>
    <xf numFmtId="0" fontId="0" fillId="0" borderId="1" xfId="0" applyFont="1" applyBorder="1"/>
    <xf numFmtId="0" fontId="0" fillId="0" borderId="0" xfId="0" applyBorder="1"/>
    <xf numFmtId="2" fontId="0" fillId="0" borderId="0" xfId="0" applyNumberFormat="1" applyBorder="1"/>
    <xf numFmtId="0" fontId="0" fillId="0" borderId="4" xfId="0" applyBorder="1"/>
    <xf numFmtId="0" fontId="0" fillId="0" borderId="5" xfId="0" applyBorder="1"/>
    <xf numFmtId="0" fontId="0" fillId="2" borderId="0" xfId="0" applyFill="1" applyBorder="1"/>
    <xf numFmtId="0" fontId="0" fillId="2" borderId="7" xfId="0" applyFill="1" applyBorder="1"/>
    <xf numFmtId="0" fontId="0" fillId="4" borderId="0" xfId="0" applyFill="1" applyBorder="1"/>
    <xf numFmtId="0" fontId="0" fillId="4" borderId="7" xfId="0" applyFill="1" applyBorder="1"/>
    <xf numFmtId="0" fontId="0" fillId="5" borderId="0" xfId="0" applyFill="1" applyBorder="1"/>
    <xf numFmtId="0" fontId="0" fillId="5" borderId="7" xfId="0" applyFill="1" applyBorder="1"/>
    <xf numFmtId="0" fontId="0" fillId="5" borderId="9" xfId="0" applyFill="1" applyBorder="1"/>
    <xf numFmtId="0" fontId="0" fillId="5" borderId="10" xfId="0" applyFill="1" applyBorder="1"/>
    <xf numFmtId="0" fontId="0" fillId="0" borderId="0" xfId="0" applyFill="1" applyBorder="1"/>
    <xf numFmtId="0" fontId="0" fillId="0" borderId="7" xfId="0" applyBorder="1"/>
    <xf numFmtId="11" fontId="0" fillId="5" borderId="9" xfId="0" applyNumberFormat="1" applyFill="1" applyBorder="1"/>
    <xf numFmtId="11" fontId="0" fillId="4" borderId="0" xfId="0" applyNumberFormat="1" applyFill="1" applyBorder="1"/>
    <xf numFmtId="11" fontId="0" fillId="5" borderId="0" xfId="0" applyNumberFormat="1" applyFill="1" applyBorder="1"/>
    <xf numFmtId="0" fontId="0" fillId="0" borderId="4" xfId="0" applyFill="1" applyBorder="1"/>
    <xf numFmtId="0" fontId="0" fillId="0" borderId="5" xfId="0" applyFill="1" applyBorder="1"/>
    <xf numFmtId="0" fontId="1" fillId="0" borderId="3" xfId="0" applyFont="1" applyBorder="1"/>
    <xf numFmtId="0" fontId="1" fillId="0" borderId="3" xfId="0" applyFont="1" applyFill="1" applyBorder="1"/>
    <xf numFmtId="11" fontId="0" fillId="4" borderId="9" xfId="0" applyNumberFormat="1" applyFill="1" applyBorder="1"/>
    <xf numFmtId="0" fontId="0" fillId="4" borderId="10" xfId="0" applyFill="1" applyBorder="1"/>
    <xf numFmtId="2" fontId="0" fillId="2" borderId="0" xfId="0" applyNumberFormat="1" applyFill="1" applyBorder="1"/>
    <xf numFmtId="0" fontId="1" fillId="2" borderId="11" xfId="0" applyFont="1" applyFill="1" applyBorder="1"/>
    <xf numFmtId="0" fontId="1" fillId="4" borderId="12" xfId="0" applyFont="1" applyFill="1" applyBorder="1"/>
    <xf numFmtId="0" fontId="1" fillId="5" borderId="12" xfId="0" applyFont="1" applyFill="1" applyBorder="1"/>
    <xf numFmtId="0" fontId="0" fillId="3" borderId="2" xfId="0" applyFill="1" applyBorder="1"/>
    <xf numFmtId="0" fontId="1" fillId="0" borderId="13" xfId="0" applyFont="1" applyBorder="1"/>
    <xf numFmtId="0" fontId="1" fillId="3" borderId="13" xfId="0" applyFont="1" applyFill="1" applyBorder="1"/>
    <xf numFmtId="0" fontId="3" fillId="0" borderId="0" xfId="0" applyFont="1"/>
    <xf numFmtId="164" fontId="0" fillId="0" borderId="0" xfId="0" applyNumberFormat="1"/>
    <xf numFmtId="0" fontId="0" fillId="0" borderId="7" xfId="0" applyFont="1" applyBorder="1"/>
    <xf numFmtId="0" fontId="5" fillId="0" borderId="0" xfId="0" applyFont="1" applyAlignment="1">
      <alignment wrapText="1"/>
    </xf>
    <xf numFmtId="0" fontId="0" fillId="2" borderId="6" xfId="0" applyFill="1" applyBorder="1" applyAlignment="1">
      <alignment horizontal="right"/>
    </xf>
    <xf numFmtId="0" fontId="0" fillId="4" borderId="6" xfId="0" applyFill="1" applyBorder="1" applyAlignment="1">
      <alignment horizontal="right"/>
    </xf>
    <xf numFmtId="0" fontId="0" fillId="5" borderId="6" xfId="0" applyFill="1" applyBorder="1" applyAlignment="1">
      <alignment horizontal="right"/>
    </xf>
    <xf numFmtId="0" fontId="0" fillId="5" borderId="8" xfId="0" applyFill="1" applyBorder="1" applyAlignment="1">
      <alignment horizontal="right"/>
    </xf>
    <xf numFmtId="0" fontId="0" fillId="0" borderId="6" xfId="0" applyBorder="1" applyAlignment="1">
      <alignment horizontal="right"/>
    </xf>
    <xf numFmtId="0" fontId="0" fillId="4" borderId="8" xfId="0" applyFill="1" applyBorder="1" applyAlignment="1">
      <alignment horizontal="right"/>
    </xf>
    <xf numFmtId="0" fontId="0" fillId="2" borderId="14" xfId="0" applyFill="1" applyBorder="1" applyAlignment="1">
      <alignment horizontal="right"/>
    </xf>
    <xf numFmtId="0" fontId="0" fillId="2" borderId="15" xfId="0" applyFill="1" applyBorder="1"/>
    <xf numFmtId="0" fontId="0" fillId="2" borderId="16" xfId="0" applyFill="1" applyBorder="1"/>
    <xf numFmtId="0" fontId="0" fillId="0" borderId="16" xfId="0" applyBorder="1" applyAlignment="1">
      <alignment wrapText="1"/>
    </xf>
    <xf numFmtId="0" fontId="0" fillId="0" borderId="5" xfId="0" applyBorder="1" applyAlignment="1">
      <alignment wrapText="1"/>
    </xf>
    <xf numFmtId="0" fontId="1" fillId="0" borderId="3" xfId="0" applyFont="1" applyBorder="1" applyAlignment="1">
      <alignment vertical="center"/>
    </xf>
    <xf numFmtId="0" fontId="1" fillId="0" borderId="14" xfId="0" applyFont="1" applyBorder="1" applyAlignment="1">
      <alignment vertical="center"/>
    </xf>
    <xf numFmtId="0" fontId="1" fillId="0" borderId="6" xfId="0" applyFont="1" applyBorder="1" applyAlignment="1">
      <alignment vertical="center"/>
    </xf>
    <xf numFmtId="0" fontId="1" fillId="0" borderId="8" xfId="0" applyFont="1" applyBorder="1" applyAlignment="1">
      <alignment vertical="center"/>
    </xf>
    <xf numFmtId="165" fontId="0" fillId="0" borderId="10" xfId="0" applyNumberFormat="1" applyBorder="1"/>
    <xf numFmtId="0" fontId="1" fillId="0" borderId="6" xfId="0" applyFont="1" applyBorder="1" applyAlignment="1">
      <alignment horizontal="center" vertical="center"/>
    </xf>
    <xf numFmtId="0" fontId="1" fillId="0" borderId="7"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Hastighed</a:t>
            </a:r>
          </a:p>
        </c:rich>
      </c:tx>
      <c:layout/>
      <c:overlay val="0"/>
    </c:title>
    <c:autoTitleDeleted val="0"/>
    <c:plotArea>
      <c:layout/>
      <c:scatterChart>
        <c:scatterStyle val="smoothMarker"/>
        <c:varyColors val="0"/>
        <c:ser>
          <c:idx val="7"/>
          <c:order val="0"/>
          <c:spPr>
            <a:ln>
              <a:solidFill>
                <a:srgbClr val="FF0000"/>
              </a:solidFill>
            </a:ln>
          </c:spPr>
          <c:marker>
            <c:symbol val="none"/>
          </c:marker>
          <c:xVal>
            <c:numRef>
              <c:f>Hovedark!$I$5:$I$30</c:f>
              <c:numCache>
                <c:formatCode>0.00</c:formatCode>
                <c:ptCount val="26"/>
                <c:pt idx="0">
                  <c:v>9.2145323834371157E-2</c:v>
                </c:pt>
                <c:pt idx="1">
                  <c:v>0.95622152315999098</c:v>
                </c:pt>
                <c:pt idx="2">
                  <c:v>1.3522128666918041</c:v>
                </c:pt>
                <c:pt idx="3">
                  <c:v>1.656686046117996</c:v>
                </c:pt>
                <c:pt idx="4">
                  <c:v>1.9112407495762402</c:v>
                </c:pt>
                <c:pt idx="5">
                  <c:v>2.1393160767448061</c:v>
                </c:pt>
                <c:pt idx="6">
                  <c:v>2.3432744294094348</c:v>
                </c:pt>
                <c:pt idx="7">
                  <c:v>2.5321398237972228</c:v>
                </c:pt>
                <c:pt idx="8">
                  <c:v>2.7071583672684092</c:v>
                </c:pt>
                <c:pt idx="9">
                  <c:v>2.8714390623743031</c:v>
                </c:pt>
                <c:pt idx="10">
                  <c:v>3.0266431952496764</c:v>
                </c:pt>
                <c:pt idx="11">
                  <c:v>3.1739870466125906</c:v>
                </c:pt>
                <c:pt idx="12">
                  <c:v>3.3161996945305434</c:v>
                </c:pt>
                <c:pt idx="13">
                  <c:v>3.451732408478716</c:v>
                </c:pt>
                <c:pt idx="14">
                  <c:v>3.5821579799531809</c:v>
                </c:pt>
                <c:pt idx="15">
                  <c:v>3.7079607763967068</c:v>
                </c:pt>
              </c:numCache>
            </c:numRef>
          </c:xVal>
          <c:yVal>
            <c:numRef>
              <c:f>Hovedark!$H$5:$H$30</c:f>
              <c:numCache>
                <c:formatCode>0.0</c:formatCode>
                <c:ptCount val="26"/>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numCache>
            </c:numRef>
          </c:yVal>
          <c:smooth val="1"/>
        </c:ser>
        <c:dLbls>
          <c:showLegendKey val="0"/>
          <c:showVal val="0"/>
          <c:showCatName val="0"/>
          <c:showSerName val="0"/>
          <c:showPercent val="0"/>
          <c:showBubbleSize val="0"/>
        </c:dLbls>
        <c:axId val="49964160"/>
        <c:axId val="49966080"/>
      </c:scatterChart>
      <c:valAx>
        <c:axId val="49964160"/>
        <c:scaling>
          <c:orientation val="minMax"/>
        </c:scaling>
        <c:delete val="0"/>
        <c:axPos val="b"/>
        <c:minorGridlines/>
        <c:title>
          <c:tx>
            <c:rich>
              <a:bodyPr/>
              <a:lstStyle/>
              <a:p>
                <a:pPr>
                  <a:defRPr/>
                </a:pPr>
                <a:r>
                  <a:rPr lang="da-DK"/>
                  <a:t>Hastighed</a:t>
                </a:r>
                <a:r>
                  <a:rPr lang="da-DK" baseline="0"/>
                  <a:t> [m/s]</a:t>
                </a:r>
                <a:endParaRPr lang="da-DK"/>
              </a:p>
            </c:rich>
          </c:tx>
          <c:layout/>
          <c:overlay val="0"/>
        </c:title>
        <c:numFmt formatCode="0.00" sourceLinked="1"/>
        <c:majorTickMark val="out"/>
        <c:minorTickMark val="none"/>
        <c:tickLblPos val="nextTo"/>
        <c:crossAx val="49966080"/>
        <c:crosses val="autoZero"/>
        <c:crossBetween val="midCat"/>
      </c:valAx>
      <c:valAx>
        <c:axId val="49966080"/>
        <c:scaling>
          <c:orientation val="minMax"/>
        </c:scaling>
        <c:delete val="0"/>
        <c:axPos val="l"/>
        <c:minorGridlines/>
        <c:title>
          <c:tx>
            <c:rich>
              <a:bodyPr rot="-5400000" vert="horz"/>
              <a:lstStyle/>
              <a:p>
                <a:pPr>
                  <a:defRPr/>
                </a:pPr>
                <a:r>
                  <a:rPr lang="da-DK"/>
                  <a:t>Tryk [m]</a:t>
                </a:r>
              </a:p>
            </c:rich>
          </c:tx>
          <c:layout/>
          <c:overlay val="0"/>
        </c:title>
        <c:numFmt formatCode="0.0" sourceLinked="1"/>
        <c:majorTickMark val="out"/>
        <c:minorTickMark val="none"/>
        <c:tickLblPos val="nextTo"/>
        <c:crossAx val="4996416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Vandføring</a:t>
            </a:r>
          </a:p>
        </c:rich>
      </c:tx>
      <c:layout/>
      <c:overlay val="0"/>
    </c:title>
    <c:autoTitleDeleted val="0"/>
    <c:plotArea>
      <c:layout/>
      <c:scatterChart>
        <c:scatterStyle val="smoothMarker"/>
        <c:varyColors val="0"/>
        <c:ser>
          <c:idx val="7"/>
          <c:order val="0"/>
          <c:spPr>
            <a:ln>
              <a:solidFill>
                <a:srgbClr val="FF0000"/>
              </a:solidFill>
            </a:ln>
          </c:spPr>
          <c:marker>
            <c:symbol val="none"/>
          </c:marker>
          <c:xVal>
            <c:numRef>
              <c:f>Hovedark!$J$5:$J$44</c:f>
              <c:numCache>
                <c:formatCode>0.00</c:formatCode>
                <c:ptCount val="40"/>
                <c:pt idx="0">
                  <c:v>4.5231730065736393E-2</c:v>
                </c:pt>
                <c:pt idx="1">
                  <c:v>0.46938414255685473</c:v>
                </c:pt>
                <c:pt idx="2">
                  <c:v>0.66376593876383849</c:v>
                </c:pt>
                <c:pt idx="3">
                  <c:v>0.81322386121703405</c:v>
                </c:pt>
                <c:pt idx="4">
                  <c:v>0.93817810907971344</c:v>
                </c:pt>
                <c:pt idx="5">
                  <c:v>1.0501343235012535</c:v>
                </c:pt>
                <c:pt idx="6">
                  <c:v>1.1502521457464838</c:v>
                </c:pt>
                <c:pt idx="7">
                  <c:v>1.2429612294224233</c:v>
                </c:pt>
                <c:pt idx="8">
                  <c:v>1.3288732560491523</c:v>
                </c:pt>
                <c:pt idx="9">
                  <c:v>1.409514353685293</c:v>
                </c:pt>
                <c:pt idx="10">
                  <c:v>1.4857000042553004</c:v>
                </c:pt>
                <c:pt idx="11">
                  <c:v>1.5580272481605124</c:v>
                </c:pt>
                <c:pt idx="12">
                  <c:v>1.6278357184646675</c:v>
                </c:pt>
                <c:pt idx="13">
                  <c:v>1.6943651838491467</c:v>
                </c:pt>
                <c:pt idx="14">
                  <c:v>1.7583876865342138</c:v>
                </c:pt>
                <c:pt idx="15">
                  <c:v>1.820140989832344</c:v>
                </c:pt>
              </c:numCache>
            </c:numRef>
          </c:xVal>
          <c:yVal>
            <c:numRef>
              <c:f>Hovedark!$H$5:$H$44</c:f>
              <c:numCache>
                <c:formatCode>0.0</c:formatCode>
                <c:ptCount val="40"/>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numCache>
            </c:numRef>
          </c:yVal>
          <c:smooth val="1"/>
        </c:ser>
        <c:dLbls>
          <c:showLegendKey val="0"/>
          <c:showVal val="0"/>
          <c:showCatName val="0"/>
          <c:showSerName val="0"/>
          <c:showPercent val="0"/>
          <c:showBubbleSize val="0"/>
        </c:dLbls>
        <c:axId val="50002944"/>
        <c:axId val="49808512"/>
      </c:scatterChart>
      <c:valAx>
        <c:axId val="50002944"/>
        <c:scaling>
          <c:orientation val="minMax"/>
        </c:scaling>
        <c:delete val="0"/>
        <c:axPos val="b"/>
        <c:minorGridlines/>
        <c:title>
          <c:tx>
            <c:rich>
              <a:bodyPr/>
              <a:lstStyle/>
              <a:p>
                <a:pPr>
                  <a:defRPr/>
                </a:pPr>
                <a:r>
                  <a:rPr lang="da-DK"/>
                  <a:t>Vandføring [L/s]</a:t>
                </a:r>
              </a:p>
            </c:rich>
          </c:tx>
          <c:layout/>
          <c:overlay val="0"/>
        </c:title>
        <c:numFmt formatCode="0.00" sourceLinked="1"/>
        <c:majorTickMark val="out"/>
        <c:minorTickMark val="none"/>
        <c:tickLblPos val="nextTo"/>
        <c:crossAx val="49808512"/>
        <c:crosses val="autoZero"/>
        <c:crossBetween val="midCat"/>
      </c:valAx>
      <c:valAx>
        <c:axId val="49808512"/>
        <c:scaling>
          <c:orientation val="minMax"/>
        </c:scaling>
        <c:delete val="0"/>
        <c:axPos val="l"/>
        <c:minorGridlines/>
        <c:title>
          <c:tx>
            <c:rich>
              <a:bodyPr rot="-5400000" vert="horz"/>
              <a:lstStyle/>
              <a:p>
                <a:pPr>
                  <a:defRPr/>
                </a:pPr>
                <a:r>
                  <a:rPr lang="da-DK"/>
                  <a:t>Tryk [m]</a:t>
                </a:r>
              </a:p>
            </c:rich>
          </c:tx>
          <c:layout/>
          <c:overlay val="0"/>
        </c:title>
        <c:numFmt formatCode="#,##0.00" sourceLinked="0"/>
        <c:majorTickMark val="out"/>
        <c:minorTickMark val="none"/>
        <c:tickLblPos val="nextTo"/>
        <c:crossAx val="5000294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Vandføring</a:t>
            </a:r>
          </a:p>
        </c:rich>
      </c:tx>
      <c:layout/>
      <c:overlay val="0"/>
    </c:title>
    <c:autoTitleDeleted val="0"/>
    <c:plotArea>
      <c:layout/>
      <c:scatterChart>
        <c:scatterStyle val="smoothMarker"/>
        <c:varyColors val="0"/>
        <c:ser>
          <c:idx val="7"/>
          <c:order val="0"/>
          <c:spPr>
            <a:ln>
              <a:solidFill>
                <a:srgbClr val="FF0000"/>
              </a:solidFill>
            </a:ln>
          </c:spPr>
          <c:marker>
            <c:symbol val="none"/>
          </c:marker>
          <c:xVal>
            <c:numRef>
              <c:f>Hovedark!$J$5:$J$44</c:f>
              <c:numCache>
                <c:formatCode>0.00</c:formatCode>
                <c:ptCount val="40"/>
                <c:pt idx="0">
                  <c:v>4.5231730065736393E-2</c:v>
                </c:pt>
                <c:pt idx="1">
                  <c:v>0.46938414255685473</c:v>
                </c:pt>
                <c:pt idx="2">
                  <c:v>0.66376593876383849</c:v>
                </c:pt>
                <c:pt idx="3">
                  <c:v>0.81322386121703405</c:v>
                </c:pt>
                <c:pt idx="4">
                  <c:v>0.93817810907971344</c:v>
                </c:pt>
                <c:pt idx="5">
                  <c:v>1.0501343235012535</c:v>
                </c:pt>
                <c:pt idx="6">
                  <c:v>1.1502521457464838</c:v>
                </c:pt>
                <c:pt idx="7">
                  <c:v>1.2429612294224233</c:v>
                </c:pt>
                <c:pt idx="8">
                  <c:v>1.3288732560491523</c:v>
                </c:pt>
                <c:pt idx="9">
                  <c:v>1.409514353685293</c:v>
                </c:pt>
                <c:pt idx="10">
                  <c:v>1.4857000042553004</c:v>
                </c:pt>
                <c:pt idx="11">
                  <c:v>1.5580272481605124</c:v>
                </c:pt>
                <c:pt idx="12">
                  <c:v>1.6278357184646675</c:v>
                </c:pt>
                <c:pt idx="13">
                  <c:v>1.6943651838491467</c:v>
                </c:pt>
                <c:pt idx="14">
                  <c:v>1.7583876865342138</c:v>
                </c:pt>
                <c:pt idx="15">
                  <c:v>1.820140989832344</c:v>
                </c:pt>
              </c:numCache>
            </c:numRef>
          </c:xVal>
          <c:yVal>
            <c:numRef>
              <c:f>Hovedark!#REF!</c:f>
              <c:numCache>
                <c:formatCode>General</c:formatCode>
                <c:ptCount val="1"/>
                <c:pt idx="0">
                  <c:v>1</c:v>
                </c:pt>
              </c:numCache>
            </c:numRef>
          </c:yVal>
          <c:smooth val="1"/>
        </c:ser>
        <c:dLbls>
          <c:showLegendKey val="0"/>
          <c:showVal val="0"/>
          <c:showCatName val="0"/>
          <c:showSerName val="0"/>
          <c:showPercent val="0"/>
          <c:showBubbleSize val="0"/>
        </c:dLbls>
        <c:axId val="49820800"/>
        <c:axId val="49822720"/>
      </c:scatterChart>
      <c:valAx>
        <c:axId val="49820800"/>
        <c:scaling>
          <c:orientation val="minMax"/>
        </c:scaling>
        <c:delete val="0"/>
        <c:axPos val="b"/>
        <c:minorGridlines/>
        <c:title>
          <c:tx>
            <c:rich>
              <a:bodyPr/>
              <a:lstStyle/>
              <a:p>
                <a:pPr>
                  <a:defRPr/>
                </a:pPr>
                <a:r>
                  <a:rPr lang="da-DK"/>
                  <a:t>Vandføring [L/s]</a:t>
                </a:r>
              </a:p>
            </c:rich>
          </c:tx>
          <c:layout/>
          <c:overlay val="0"/>
        </c:title>
        <c:numFmt formatCode="0.00" sourceLinked="1"/>
        <c:majorTickMark val="out"/>
        <c:minorTickMark val="none"/>
        <c:tickLblPos val="nextTo"/>
        <c:crossAx val="49822720"/>
        <c:crosses val="autoZero"/>
        <c:crossBetween val="midCat"/>
      </c:valAx>
      <c:valAx>
        <c:axId val="49822720"/>
        <c:scaling>
          <c:orientation val="minMax"/>
        </c:scaling>
        <c:delete val="0"/>
        <c:axPos val="l"/>
        <c:minorGridlines/>
        <c:title>
          <c:tx>
            <c:rich>
              <a:bodyPr rot="-5400000" vert="horz"/>
              <a:lstStyle/>
              <a:p>
                <a:pPr>
                  <a:defRPr/>
                </a:pPr>
                <a:r>
                  <a:rPr lang="da-DK"/>
                  <a:t>Gentagelsesperiode</a:t>
                </a:r>
                <a:r>
                  <a:rPr lang="da-DK" baseline="0"/>
                  <a:t> [år]</a:t>
                </a:r>
              </a:p>
            </c:rich>
          </c:tx>
          <c:layout/>
          <c:overlay val="0"/>
        </c:title>
        <c:numFmt formatCode="General" sourceLinked="1"/>
        <c:majorTickMark val="out"/>
        <c:minorTickMark val="none"/>
        <c:tickLblPos val="nextTo"/>
        <c:crossAx val="4982080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8</xdr:row>
          <xdr:rowOff>22860</xdr:rowOff>
        </xdr:from>
        <xdr:to>
          <xdr:col>5</xdr:col>
          <xdr:colOff>0</xdr:colOff>
          <xdr:row>10</xdr:row>
          <xdr:rowOff>45720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64008" tIns="54864" rIns="64008" bIns="54864" anchor="ctr" upright="1"/>
            <a:lstStyle/>
            <a:p>
              <a:pPr algn="ctr" rtl="0">
                <a:defRPr sz="1000"/>
              </a:pPr>
              <a:r>
                <a:rPr lang="da-DK" sz="2400" b="1" i="0" u="none" strike="noStrike" baseline="0">
                  <a:solidFill>
                    <a:srgbClr val="000000"/>
                  </a:solidFill>
                  <a:latin typeface="Trebuchet MS"/>
                </a:rPr>
                <a:t>Beregn!</a:t>
              </a:r>
            </a:p>
          </xdr:txBody>
        </xdr:sp>
        <xdr:clientData fPrintsWithSheet="0"/>
      </xdr:twoCellAnchor>
    </mc:Choice>
    <mc:Fallback/>
  </mc:AlternateContent>
  <xdr:twoCellAnchor>
    <xdr:from>
      <xdr:col>10</xdr:col>
      <xdr:colOff>526069</xdr:colOff>
      <xdr:row>0</xdr:row>
      <xdr:rowOff>40340</xdr:rowOff>
    </xdr:from>
    <xdr:to>
      <xdr:col>22</xdr:col>
      <xdr:colOff>424543</xdr:colOff>
      <xdr:row>17</xdr:row>
      <xdr:rowOff>152399</xdr:rowOff>
    </xdr:to>
    <xdr:graphicFrame macro="">
      <xdr:nvGraphicFramePr>
        <xdr:cNvPr id="5" name="Diagra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531192</xdr:colOff>
      <xdr:row>18</xdr:row>
      <xdr:rowOff>66594</xdr:rowOff>
    </xdr:from>
    <xdr:to>
      <xdr:col>22</xdr:col>
      <xdr:colOff>435429</xdr:colOff>
      <xdr:row>43</xdr:row>
      <xdr:rowOff>43542</xdr:rowOff>
    </xdr:to>
    <xdr:graphicFrame macro="">
      <xdr:nvGraphicFramePr>
        <xdr:cNvPr id="12" name="Diagra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552964</xdr:colOff>
      <xdr:row>43</xdr:row>
      <xdr:rowOff>87086</xdr:rowOff>
    </xdr:from>
    <xdr:to>
      <xdr:col>22</xdr:col>
      <xdr:colOff>435429</xdr:colOff>
      <xdr:row>68</xdr:row>
      <xdr:rowOff>152401</xdr:rowOff>
    </xdr:to>
    <xdr:graphicFrame macro="">
      <xdr:nvGraphicFramePr>
        <xdr:cNvPr id="8" name="Diagra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158675</xdr:colOff>
      <xdr:row>3</xdr:row>
      <xdr:rowOff>0</xdr:rowOff>
    </xdr:from>
    <xdr:to>
      <xdr:col>17</xdr:col>
      <xdr:colOff>180736</xdr:colOff>
      <xdr:row>8</xdr:row>
      <xdr:rowOff>284753</xdr:rowOff>
    </xdr:to>
    <xdr:pic>
      <xdr:nvPicPr>
        <xdr:cNvPr id="3" name="Billede 2"/>
        <xdr:cNvPicPr>
          <a:picLocks noChangeAspect="1"/>
        </xdr:cNvPicPr>
      </xdr:nvPicPr>
      <xdr:blipFill>
        <a:blip xmlns:r="http://schemas.openxmlformats.org/officeDocument/2006/relationships" r:embed="rId1"/>
        <a:stretch>
          <a:fillRect/>
        </a:stretch>
      </xdr:blipFill>
      <xdr:spPr>
        <a:xfrm>
          <a:off x="9293710" y="2792126"/>
          <a:ext cx="9255708" cy="1760344"/>
        </a:xfrm>
        <a:prstGeom prst="rect">
          <a:avLst/>
        </a:prstGeom>
      </xdr:spPr>
    </xdr:pic>
    <xdr:clientData/>
  </xdr:twoCellAnchor>
</xdr:wsDr>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4"/>
  <dimension ref="A1:U131"/>
  <sheetViews>
    <sheetView tabSelected="1" zoomScale="55" zoomScaleNormal="55" workbookViewId="0">
      <selection activeCell="B5" sqref="B5"/>
    </sheetView>
  </sheetViews>
  <sheetFormatPr defaultRowHeight="14.4" x14ac:dyDescent="0.35"/>
  <cols>
    <col min="1" max="1" width="66.6640625" customWidth="1"/>
    <col min="2" max="3" width="22.6640625" customWidth="1"/>
    <col min="4" max="4" width="30.6640625" customWidth="1"/>
    <col min="5" max="5" width="34.6640625" customWidth="1"/>
    <col min="6" max="7" width="5.6640625" customWidth="1"/>
    <col min="8" max="10" width="20.6640625" customWidth="1"/>
  </cols>
  <sheetData>
    <row r="1" spans="1:21" ht="22.2" x14ac:dyDescent="0.45">
      <c r="A1" s="35" t="s">
        <v>16</v>
      </c>
      <c r="D1" s="1" t="s">
        <v>40</v>
      </c>
      <c r="G1" s="4"/>
      <c r="H1" s="35" t="s">
        <v>31</v>
      </c>
    </row>
    <row r="2" spans="1:21" ht="130.19999999999999" customHeight="1" thickBot="1" x14ac:dyDescent="0.4">
      <c r="A2" s="38" t="s">
        <v>41</v>
      </c>
      <c r="B2" s="2"/>
      <c r="G2" s="4"/>
      <c r="M2" s="5"/>
      <c r="N2" s="5"/>
      <c r="O2" s="5"/>
    </row>
    <row r="3" spans="1:21" ht="15" thickBot="1" x14ac:dyDescent="0.4">
      <c r="A3" s="25" t="s">
        <v>20</v>
      </c>
      <c r="B3" s="22"/>
      <c r="C3" s="23"/>
      <c r="E3" s="29" t="s">
        <v>36</v>
      </c>
      <c r="G3" s="4"/>
      <c r="M3" s="5"/>
      <c r="N3" s="5"/>
      <c r="O3" s="5"/>
    </row>
    <row r="4" spans="1:21" ht="15" thickBot="1" x14ac:dyDescent="0.4">
      <c r="A4" s="45" t="s">
        <v>45</v>
      </c>
      <c r="B4" s="46">
        <v>25</v>
      </c>
      <c r="C4" s="47" t="s">
        <v>21</v>
      </c>
      <c r="E4" s="30" t="s">
        <v>37</v>
      </c>
      <c r="G4" s="4"/>
      <c r="H4" s="32" t="s">
        <v>47</v>
      </c>
      <c r="I4" s="32" t="s">
        <v>63</v>
      </c>
      <c r="J4" s="32" t="s">
        <v>32</v>
      </c>
      <c r="M4" s="5"/>
      <c r="N4" s="5"/>
      <c r="O4" s="5"/>
      <c r="U4" s="36"/>
    </row>
    <row r="5" spans="1:21" x14ac:dyDescent="0.35">
      <c r="A5" s="39" t="s">
        <v>46</v>
      </c>
      <c r="B5" s="9">
        <v>0.2</v>
      </c>
      <c r="C5" s="10" t="s">
        <v>7</v>
      </c>
      <c r="E5" s="31" t="s">
        <v>38</v>
      </c>
      <c r="G5" s="4"/>
      <c r="H5" s="36">
        <v>0</v>
      </c>
      <c r="I5" s="3">
        <v>9.2145323834371157E-2</v>
      </c>
      <c r="J5" s="3">
        <f>I5*Areal*1000</f>
        <v>4.5231730065736393E-2</v>
      </c>
      <c r="M5" s="5"/>
      <c r="N5" s="5"/>
      <c r="O5" s="5"/>
      <c r="U5" s="36"/>
    </row>
    <row r="6" spans="1:21" x14ac:dyDescent="0.35">
      <c r="A6" s="39" t="s">
        <v>59</v>
      </c>
      <c r="B6" s="28">
        <v>1</v>
      </c>
      <c r="C6" s="10" t="s">
        <v>21</v>
      </c>
      <c r="E6" s="31" t="s">
        <v>39</v>
      </c>
      <c r="G6" s="4"/>
      <c r="H6" s="36">
        <v>0.1</v>
      </c>
      <c r="I6" s="3">
        <v>0.95622152315999098</v>
      </c>
      <c r="J6" s="3">
        <f>I6*Areal*1000</f>
        <v>0.46938414255685473</v>
      </c>
      <c r="M6" s="5"/>
      <c r="N6" s="5"/>
      <c r="O6" s="5"/>
      <c r="U6" s="36"/>
    </row>
    <row r="7" spans="1:21" ht="15" thickBot="1" x14ac:dyDescent="0.4">
      <c r="A7" s="40" t="s">
        <v>62</v>
      </c>
      <c r="B7" s="11">
        <f>(B4/1000/2)^2*PI()</f>
        <v>4.9087385212340522E-4</v>
      </c>
      <c r="C7" s="12" t="s">
        <v>10</v>
      </c>
      <c r="E7" s="34" t="s">
        <v>31</v>
      </c>
      <c r="G7" s="4"/>
      <c r="H7" s="36">
        <v>0.2</v>
      </c>
      <c r="I7" s="6">
        <v>1.3522128666918041</v>
      </c>
      <c r="J7" s="3">
        <f>I7*Areal*1000</f>
        <v>0.66376593876383849</v>
      </c>
      <c r="M7" s="5"/>
      <c r="N7" s="5"/>
      <c r="O7" s="5"/>
      <c r="U7" s="36"/>
    </row>
    <row r="8" spans="1:21" ht="15" thickBot="1" x14ac:dyDescent="0.4">
      <c r="A8" s="41" t="s">
        <v>2</v>
      </c>
      <c r="B8" s="13">
        <v>3.7079607763967068</v>
      </c>
      <c r="C8" s="14" t="s">
        <v>11</v>
      </c>
      <c r="E8" s="33" t="s">
        <v>42</v>
      </c>
      <c r="G8" s="4"/>
      <c r="H8" s="36">
        <v>0.3</v>
      </c>
      <c r="I8" s="6">
        <v>1.656686046117996</v>
      </c>
      <c r="J8" s="3">
        <f>I8*Areal*1000</f>
        <v>0.81322386121703405</v>
      </c>
      <c r="M8" s="5"/>
      <c r="N8" s="5"/>
      <c r="O8" s="5"/>
      <c r="U8" s="36"/>
    </row>
    <row r="9" spans="1:21" x14ac:dyDescent="0.35">
      <c r="A9" s="41" t="s">
        <v>0</v>
      </c>
      <c r="B9" s="13">
        <v>1.5</v>
      </c>
      <c r="C9" s="14" t="s">
        <v>7</v>
      </c>
      <c r="G9" s="4"/>
      <c r="H9" s="36">
        <v>0.4</v>
      </c>
      <c r="I9" s="6">
        <v>1.9112407495762402</v>
      </c>
      <c r="J9" s="3">
        <f>I9*Areal*1000</f>
        <v>0.93817810907971344</v>
      </c>
      <c r="M9" s="5"/>
      <c r="N9" s="5"/>
      <c r="O9" s="5"/>
      <c r="U9" s="36"/>
    </row>
    <row r="10" spans="1:21" ht="15" thickBot="1" x14ac:dyDescent="0.4">
      <c r="A10" s="42" t="s">
        <v>33</v>
      </c>
      <c r="B10" s="15">
        <f>IF(Hastighed&gt;0,1,0)</f>
        <v>1</v>
      </c>
      <c r="C10" s="16"/>
      <c r="G10" s="4"/>
      <c r="H10" s="36">
        <v>0.5</v>
      </c>
      <c r="I10" s="6">
        <v>2.1393160767448061</v>
      </c>
      <c r="J10" s="3">
        <f>I10*Areal*1000</f>
        <v>1.0501343235012535</v>
      </c>
      <c r="M10" s="5"/>
      <c r="N10" s="5"/>
      <c r="O10" s="5"/>
      <c r="U10" s="36"/>
    </row>
    <row r="11" spans="1:21" ht="15" thickBot="1" x14ac:dyDescent="0.4">
      <c r="A11" s="17"/>
      <c r="B11" s="17"/>
      <c r="C11" s="17"/>
      <c r="G11" s="4"/>
      <c r="H11" s="36">
        <v>0.6</v>
      </c>
      <c r="I11" s="6">
        <v>2.3432744294094348</v>
      </c>
      <c r="J11" s="3">
        <f>I11*Areal*1000</f>
        <v>1.1502521457464838</v>
      </c>
      <c r="M11" s="5"/>
      <c r="N11" s="5"/>
      <c r="O11" s="5"/>
      <c r="U11" s="36"/>
    </row>
    <row r="12" spans="1:21" ht="15" thickBot="1" x14ac:dyDescent="0.4">
      <c r="A12" s="24" t="s">
        <v>17</v>
      </c>
      <c r="B12" s="7"/>
      <c r="C12" s="8"/>
      <c r="G12" s="4"/>
      <c r="H12" s="36">
        <v>0.7</v>
      </c>
      <c r="I12" s="6">
        <v>2.5321398237972228</v>
      </c>
      <c r="J12" s="3">
        <f>I12*Areal*1000</f>
        <v>1.2429612294224233</v>
      </c>
      <c r="M12" s="5"/>
      <c r="N12" s="5"/>
      <c r="O12" s="5"/>
      <c r="U12" s="36"/>
    </row>
    <row r="13" spans="1:21" x14ac:dyDescent="0.35">
      <c r="A13" s="43" t="s">
        <v>18</v>
      </c>
      <c r="B13" s="5"/>
      <c r="C13" s="18"/>
      <c r="G13" s="4"/>
      <c r="H13" s="36">
        <v>0.8</v>
      </c>
      <c r="I13" s="3">
        <v>2.7071583672684092</v>
      </c>
      <c r="J13" s="3">
        <f>I13*Areal*1000</f>
        <v>1.3288732560491523</v>
      </c>
      <c r="M13" s="5"/>
      <c r="N13" s="5"/>
      <c r="O13" s="5"/>
      <c r="U13" s="36"/>
    </row>
    <row r="14" spans="1:21" x14ac:dyDescent="0.35">
      <c r="A14" s="39" t="s">
        <v>60</v>
      </c>
      <c r="B14" s="9">
        <v>0.5</v>
      </c>
      <c r="C14" s="10" t="s">
        <v>19</v>
      </c>
      <c r="D14" s="2" t="s">
        <v>43</v>
      </c>
      <c r="G14" s="4"/>
      <c r="H14" s="36">
        <v>0.9</v>
      </c>
      <c r="I14" s="3">
        <v>2.8714390623743031</v>
      </c>
      <c r="J14" s="3">
        <f>I14*Areal*1000</f>
        <v>1.409514353685293</v>
      </c>
      <c r="U14" s="36"/>
    </row>
    <row r="15" spans="1:21" x14ac:dyDescent="0.35">
      <c r="A15" s="39" t="s">
        <v>61</v>
      </c>
      <c r="B15" s="9">
        <v>1.1000000000000001</v>
      </c>
      <c r="C15" s="10" t="s">
        <v>19</v>
      </c>
      <c r="D15" s="2" t="s">
        <v>44</v>
      </c>
      <c r="G15" s="4"/>
      <c r="H15" s="36">
        <v>1</v>
      </c>
      <c r="I15" s="6">
        <v>3.0266431952496764</v>
      </c>
      <c r="J15" s="3">
        <f>I15*Areal*1000</f>
        <v>1.4857000042553004</v>
      </c>
      <c r="U15" s="36"/>
    </row>
    <row r="16" spans="1:21" x14ac:dyDescent="0.35">
      <c r="A16" s="40" t="s">
        <v>22</v>
      </c>
      <c r="B16" s="11">
        <f>B15+B14</f>
        <v>1.6</v>
      </c>
      <c r="C16" s="12" t="s">
        <v>19</v>
      </c>
      <c r="G16" s="4"/>
      <c r="H16" s="36">
        <v>1.1000000000000001</v>
      </c>
      <c r="I16" s="6">
        <v>3.1739870466125906</v>
      </c>
      <c r="J16" s="3">
        <f>I16*Areal*1000</f>
        <v>1.5580272481605124</v>
      </c>
      <c r="U16" s="36"/>
    </row>
    <row r="17" spans="1:21" ht="15" thickBot="1" x14ac:dyDescent="0.4">
      <c r="A17" s="42" t="s">
        <v>1</v>
      </c>
      <c r="B17" s="19">
        <f>((B16)*B8^2)/(2*9.82)</f>
        <v>1.1200792765210974</v>
      </c>
      <c r="C17" s="16" t="s">
        <v>7</v>
      </c>
      <c r="G17" s="4"/>
      <c r="H17" s="36">
        <v>1.2</v>
      </c>
      <c r="I17" s="6">
        <v>3.3161996945305434</v>
      </c>
      <c r="J17" s="3">
        <f>I17*Areal*1000</f>
        <v>1.6278357184646675</v>
      </c>
      <c r="U17" s="36"/>
    </row>
    <row r="18" spans="1:21" x14ac:dyDescent="0.35">
      <c r="B18" s="3"/>
      <c r="G18" s="4"/>
      <c r="H18" s="36">
        <v>1.3</v>
      </c>
      <c r="I18" s="6">
        <v>3.451732408478716</v>
      </c>
      <c r="J18" s="3">
        <f>I18*Areal*1000</f>
        <v>1.6943651838491467</v>
      </c>
      <c r="U18" s="36"/>
    </row>
    <row r="19" spans="1:21" ht="15" thickBot="1" x14ac:dyDescent="0.4">
      <c r="G19" s="4"/>
      <c r="H19" s="36">
        <v>1.4</v>
      </c>
      <c r="I19" s="6">
        <v>3.5821579799531809</v>
      </c>
      <c r="J19" s="3">
        <f>I19*Areal*1000</f>
        <v>1.7583876865342138</v>
      </c>
      <c r="U19" s="36"/>
    </row>
    <row r="20" spans="1:21" ht="15" thickBot="1" x14ac:dyDescent="0.4">
      <c r="A20" s="24" t="s">
        <v>23</v>
      </c>
      <c r="B20" s="7"/>
      <c r="C20" s="8"/>
      <c r="G20" s="4"/>
      <c r="H20" s="36">
        <v>1.5</v>
      </c>
      <c r="I20" s="6">
        <v>3.7079607763967068</v>
      </c>
      <c r="J20" s="3">
        <f>I20*Areal*1000</f>
        <v>1.820140989832344</v>
      </c>
      <c r="U20" s="36"/>
    </row>
    <row r="21" spans="1:21" x14ac:dyDescent="0.35">
      <c r="A21" s="40" t="s">
        <v>3</v>
      </c>
      <c r="B21" s="11">
        <f>B4/4/1000</f>
        <v>6.2500000000000003E-3</v>
      </c>
      <c r="C21" s="12" t="s">
        <v>7</v>
      </c>
      <c r="G21" s="4"/>
      <c r="H21" s="36"/>
      <c r="I21" s="3"/>
      <c r="J21" s="3"/>
      <c r="U21" s="36"/>
    </row>
    <row r="22" spans="1:21" x14ac:dyDescent="0.35">
      <c r="A22" s="40" t="s">
        <v>5</v>
      </c>
      <c r="B22" s="20">
        <v>1.3E-6</v>
      </c>
      <c r="C22" s="12" t="s">
        <v>6</v>
      </c>
      <c r="D22" s="2" t="s">
        <v>24</v>
      </c>
      <c r="G22" s="4"/>
      <c r="H22" s="36"/>
      <c r="I22" s="3"/>
      <c r="J22" s="3"/>
      <c r="U22" s="36"/>
    </row>
    <row r="23" spans="1:21" x14ac:dyDescent="0.35">
      <c r="A23" s="41" t="s">
        <v>4</v>
      </c>
      <c r="B23" s="21">
        <f>B8*B21/B22</f>
        <v>17826.734501907245</v>
      </c>
      <c r="C23" s="14"/>
      <c r="G23" s="4"/>
      <c r="H23" s="36"/>
      <c r="I23" s="3"/>
      <c r="J23" s="3"/>
      <c r="U23" s="36"/>
    </row>
    <row r="24" spans="1:21" x14ac:dyDescent="0.35">
      <c r="A24" s="41" t="s">
        <v>26</v>
      </c>
      <c r="B24" s="21">
        <f>2/(6.4-2.45*LN($B$6/1000/$B$21+4.7/($B$23*SQRT(0.1))))^2</f>
        <v>1.6904582680080785E-2</v>
      </c>
      <c r="C24" s="14"/>
      <c r="G24" s="4"/>
      <c r="H24" s="36"/>
      <c r="I24" s="3"/>
      <c r="J24" s="3"/>
      <c r="U24" s="36"/>
    </row>
    <row r="25" spans="1:21" x14ac:dyDescent="0.35">
      <c r="A25" s="41" t="s">
        <v>13</v>
      </c>
      <c r="B25" s="21">
        <f>2/(6.4-2.45*LN($B$6/1000/$B$21+4.7/($B$23*SQRT(B24))))^2</f>
        <v>1.6961052580294345E-2</v>
      </c>
      <c r="C25" s="14"/>
      <c r="G25" s="4"/>
      <c r="H25" s="36"/>
      <c r="I25" s="3"/>
      <c r="J25" s="3"/>
      <c r="U25" s="36"/>
    </row>
    <row r="26" spans="1:21" x14ac:dyDescent="0.35">
      <c r="A26" s="41" t="s">
        <v>14</v>
      </c>
      <c r="B26" s="21">
        <f>2/(6.4-2.45*LN($B$6/1000/$B$21+4.7/($B$23*SQRT(B25))))^2</f>
        <v>1.6960892995238001E-2</v>
      </c>
      <c r="C26" s="14"/>
      <c r="G26" s="4"/>
      <c r="H26" s="36"/>
      <c r="I26" s="3"/>
      <c r="J26" s="3"/>
      <c r="U26" s="36"/>
    </row>
    <row r="27" spans="1:21" x14ac:dyDescent="0.35">
      <c r="A27" s="41" t="s">
        <v>15</v>
      </c>
      <c r="B27" s="21">
        <f>2/(6.4-2.45*LN($B$6/1000/$B$21+4.7/($B$23*SQRT(B26))))^2</f>
        <v>1.6960893445106758E-2</v>
      </c>
      <c r="C27" s="14"/>
      <c r="G27" s="4"/>
      <c r="H27" s="36"/>
      <c r="I27" s="3"/>
      <c r="J27" s="3"/>
      <c r="U27" s="36"/>
    </row>
    <row r="28" spans="1:21" x14ac:dyDescent="0.35">
      <c r="A28" s="41" t="s">
        <v>27</v>
      </c>
      <c r="B28" s="21">
        <f>2/(6.4-2.45*LN($B$6/1000/$B$21+4.7/($B$23*SQRT(B27))))^2</f>
        <v>1.6960893443838578E-2</v>
      </c>
      <c r="C28" s="14"/>
      <c r="G28" s="4"/>
      <c r="H28" s="36"/>
      <c r="I28" s="3"/>
      <c r="J28" s="3"/>
      <c r="U28" s="36"/>
    </row>
    <row r="29" spans="1:21" x14ac:dyDescent="0.35">
      <c r="A29" s="41" t="s">
        <v>9</v>
      </c>
      <c r="B29" s="21">
        <f>B28*B8^2/(2*9.82*B21)</f>
        <v>1.8997545257726134</v>
      </c>
      <c r="C29" s="14" t="s">
        <v>28</v>
      </c>
      <c r="G29" s="4"/>
      <c r="H29" s="36"/>
      <c r="I29" s="3"/>
      <c r="J29" s="3"/>
      <c r="U29" s="36"/>
    </row>
    <row r="30" spans="1:21" ht="15" thickBot="1" x14ac:dyDescent="0.4">
      <c r="A30" s="42" t="s">
        <v>8</v>
      </c>
      <c r="B30" s="19">
        <f>B29*B5</f>
        <v>0.37995090515452268</v>
      </c>
      <c r="C30" s="16" t="s">
        <v>7</v>
      </c>
      <c r="G30" s="4"/>
      <c r="H30" s="36"/>
      <c r="I30" s="3"/>
      <c r="J30" s="3"/>
      <c r="U30" s="36"/>
    </row>
    <row r="31" spans="1:21" ht="15" thickBot="1" x14ac:dyDescent="0.4">
      <c r="G31" s="4"/>
      <c r="H31" s="36"/>
      <c r="I31" s="6"/>
      <c r="J31" s="3"/>
      <c r="U31" s="36"/>
    </row>
    <row r="32" spans="1:21" ht="15" thickBot="1" x14ac:dyDescent="0.4">
      <c r="A32" s="25" t="s">
        <v>34</v>
      </c>
      <c r="B32" s="7"/>
      <c r="C32" s="8"/>
      <c r="G32" s="4"/>
      <c r="H32" s="36"/>
      <c r="I32" s="3"/>
      <c r="J32" s="3"/>
      <c r="U32" s="36"/>
    </row>
    <row r="33" spans="1:21" ht="15" thickBot="1" x14ac:dyDescent="0.4">
      <c r="A33" s="44" t="s">
        <v>35</v>
      </c>
      <c r="B33" s="26">
        <v>0</v>
      </c>
      <c r="C33" s="27" t="s">
        <v>7</v>
      </c>
      <c r="G33" s="4"/>
      <c r="H33" s="36"/>
      <c r="I33" s="3"/>
      <c r="J33" s="3"/>
      <c r="U33" s="36"/>
    </row>
    <row r="34" spans="1:21" ht="15" thickBot="1" x14ac:dyDescent="0.4">
      <c r="G34" s="4"/>
      <c r="H34" s="36"/>
      <c r="I34" s="3"/>
      <c r="J34" s="3"/>
      <c r="U34" s="36"/>
    </row>
    <row r="35" spans="1:21" ht="15" thickBot="1" x14ac:dyDescent="0.4">
      <c r="A35" s="25" t="s">
        <v>30</v>
      </c>
      <c r="B35" s="7"/>
      <c r="C35" s="8"/>
      <c r="G35" s="4"/>
      <c r="H35" s="36"/>
      <c r="I35" s="3"/>
      <c r="J35" s="3"/>
      <c r="U35" s="36"/>
    </row>
    <row r="36" spans="1:21" x14ac:dyDescent="0.35">
      <c r="A36" s="41" t="s">
        <v>12</v>
      </c>
      <c r="B36" s="21">
        <f>B17+B30-B33</f>
        <v>1.5000301816756201</v>
      </c>
      <c r="C36" s="14" t="s">
        <v>7</v>
      </c>
      <c r="G36" s="4"/>
      <c r="H36" s="36"/>
      <c r="I36" s="3"/>
      <c r="J36" s="3"/>
      <c r="U36" s="36"/>
    </row>
    <row r="37" spans="1:21" ht="15" thickBot="1" x14ac:dyDescent="0.4">
      <c r="A37" s="42" t="s">
        <v>29</v>
      </c>
      <c r="B37" s="19">
        <f>(B9-B36)</f>
        <v>-3.0181675620077897E-5</v>
      </c>
      <c r="C37" s="16"/>
      <c r="G37" s="4"/>
      <c r="H37" s="36"/>
      <c r="I37" s="3"/>
      <c r="J37" s="3"/>
      <c r="U37" s="36"/>
    </row>
    <row r="38" spans="1:21" x14ac:dyDescent="0.35">
      <c r="G38" s="4"/>
      <c r="H38" s="36"/>
      <c r="I38" s="3"/>
      <c r="J38" s="3"/>
      <c r="U38" s="36"/>
    </row>
    <row r="39" spans="1:21" x14ac:dyDescent="0.35">
      <c r="G39" s="37"/>
      <c r="H39" s="36"/>
      <c r="I39" s="3"/>
      <c r="J39" s="3"/>
      <c r="U39" s="36"/>
    </row>
    <row r="40" spans="1:21" x14ac:dyDescent="0.35">
      <c r="G40" s="37"/>
      <c r="H40" s="36"/>
      <c r="I40" s="3"/>
      <c r="J40" s="3"/>
      <c r="U40" s="36"/>
    </row>
    <row r="41" spans="1:21" x14ac:dyDescent="0.35">
      <c r="G41" s="37"/>
      <c r="H41" s="36"/>
      <c r="I41" s="3"/>
      <c r="J41" s="3"/>
      <c r="U41" s="36"/>
    </row>
    <row r="42" spans="1:21" x14ac:dyDescent="0.35">
      <c r="G42" s="37"/>
      <c r="H42" s="36"/>
      <c r="I42" s="3"/>
      <c r="J42" s="3"/>
      <c r="U42" s="36"/>
    </row>
    <row r="43" spans="1:21" x14ac:dyDescent="0.35">
      <c r="G43" s="37"/>
      <c r="H43" s="36"/>
      <c r="I43" s="3"/>
      <c r="J43" s="3"/>
      <c r="U43" s="36"/>
    </row>
    <row r="44" spans="1:21" x14ac:dyDescent="0.35">
      <c r="G44" s="37"/>
      <c r="H44" s="36"/>
      <c r="I44" s="3"/>
      <c r="J44" s="3"/>
    </row>
    <row r="45" spans="1:21" x14ac:dyDescent="0.35">
      <c r="G45" s="37"/>
    </row>
    <row r="46" spans="1:21" x14ac:dyDescent="0.35">
      <c r="G46" s="37"/>
    </row>
    <row r="47" spans="1:21" x14ac:dyDescent="0.35">
      <c r="G47" s="18"/>
    </row>
    <row r="48" spans="1:21" x14ac:dyDescent="0.35">
      <c r="G48" s="18"/>
    </row>
    <row r="49" spans="7:7" x14ac:dyDescent="0.35">
      <c r="G49" s="18"/>
    </row>
    <row r="50" spans="7:7" x14ac:dyDescent="0.35">
      <c r="G50" s="18"/>
    </row>
    <row r="51" spans="7:7" x14ac:dyDescent="0.35">
      <c r="G51" s="18"/>
    </row>
    <row r="52" spans="7:7" x14ac:dyDescent="0.35">
      <c r="G52" s="18"/>
    </row>
    <row r="53" spans="7:7" x14ac:dyDescent="0.35">
      <c r="G53" s="18"/>
    </row>
    <row r="54" spans="7:7" x14ac:dyDescent="0.35">
      <c r="G54" s="18"/>
    </row>
    <row r="55" spans="7:7" x14ac:dyDescent="0.35">
      <c r="G55" s="18"/>
    </row>
    <row r="56" spans="7:7" x14ac:dyDescent="0.35">
      <c r="G56" s="18"/>
    </row>
    <row r="57" spans="7:7" x14ac:dyDescent="0.35">
      <c r="G57" s="18"/>
    </row>
    <row r="58" spans="7:7" x14ac:dyDescent="0.35">
      <c r="G58" s="18"/>
    </row>
    <row r="59" spans="7:7" x14ac:dyDescent="0.35">
      <c r="G59" s="18"/>
    </row>
    <row r="60" spans="7:7" x14ac:dyDescent="0.35">
      <c r="G60" s="18"/>
    </row>
    <row r="61" spans="7:7" x14ac:dyDescent="0.35">
      <c r="G61" s="18"/>
    </row>
    <row r="62" spans="7:7" x14ac:dyDescent="0.35">
      <c r="G62" s="18"/>
    </row>
    <row r="63" spans="7:7" x14ac:dyDescent="0.35">
      <c r="G63" s="18"/>
    </row>
    <row r="64" spans="7:7" x14ac:dyDescent="0.35">
      <c r="G64" s="18"/>
    </row>
    <row r="65" spans="7:7" x14ac:dyDescent="0.35">
      <c r="G65" s="18"/>
    </row>
    <row r="66" spans="7:7" x14ac:dyDescent="0.35">
      <c r="G66" s="18"/>
    </row>
    <row r="67" spans="7:7" x14ac:dyDescent="0.35">
      <c r="G67" s="18"/>
    </row>
    <row r="68" spans="7:7" x14ac:dyDescent="0.35">
      <c r="G68" s="18"/>
    </row>
    <row r="69" spans="7:7" x14ac:dyDescent="0.35">
      <c r="G69" s="18"/>
    </row>
    <row r="70" spans="7:7" x14ac:dyDescent="0.35">
      <c r="G70" s="18"/>
    </row>
    <row r="71" spans="7:7" x14ac:dyDescent="0.35">
      <c r="G71" s="18"/>
    </row>
    <row r="72" spans="7:7" x14ac:dyDescent="0.35">
      <c r="G72" s="18"/>
    </row>
    <row r="73" spans="7:7" x14ac:dyDescent="0.35">
      <c r="G73" s="18"/>
    </row>
    <row r="74" spans="7:7" x14ac:dyDescent="0.35">
      <c r="G74" s="18"/>
    </row>
    <row r="75" spans="7:7" x14ac:dyDescent="0.35">
      <c r="G75" s="18"/>
    </row>
    <row r="76" spans="7:7" x14ac:dyDescent="0.35">
      <c r="G76" s="18"/>
    </row>
    <row r="77" spans="7:7" x14ac:dyDescent="0.35">
      <c r="G77" s="18"/>
    </row>
    <row r="78" spans="7:7" x14ac:dyDescent="0.35">
      <c r="G78" s="18"/>
    </row>
    <row r="79" spans="7:7" x14ac:dyDescent="0.35">
      <c r="G79" s="18"/>
    </row>
    <row r="80" spans="7:7" x14ac:dyDescent="0.35">
      <c r="G80" s="18"/>
    </row>
    <row r="81" spans="7:7" x14ac:dyDescent="0.35">
      <c r="G81" s="18"/>
    </row>
    <row r="82" spans="7:7" x14ac:dyDescent="0.35">
      <c r="G82" s="18"/>
    </row>
    <row r="83" spans="7:7" x14ac:dyDescent="0.35">
      <c r="G83" s="18"/>
    </row>
    <row r="84" spans="7:7" x14ac:dyDescent="0.35">
      <c r="G84" s="18"/>
    </row>
    <row r="85" spans="7:7" x14ac:dyDescent="0.35">
      <c r="G85" s="18"/>
    </row>
    <row r="86" spans="7:7" x14ac:dyDescent="0.35">
      <c r="G86" s="18"/>
    </row>
    <row r="87" spans="7:7" x14ac:dyDescent="0.35">
      <c r="G87" s="18"/>
    </row>
    <row r="88" spans="7:7" x14ac:dyDescent="0.35">
      <c r="G88" s="18"/>
    </row>
    <row r="89" spans="7:7" x14ac:dyDescent="0.35">
      <c r="G89" s="18"/>
    </row>
    <row r="90" spans="7:7" x14ac:dyDescent="0.35">
      <c r="G90" s="18"/>
    </row>
    <row r="91" spans="7:7" x14ac:dyDescent="0.35">
      <c r="G91" s="18"/>
    </row>
    <row r="92" spans="7:7" x14ac:dyDescent="0.35">
      <c r="G92" s="18"/>
    </row>
    <row r="93" spans="7:7" x14ac:dyDescent="0.35">
      <c r="G93" s="18"/>
    </row>
    <row r="94" spans="7:7" x14ac:dyDescent="0.35">
      <c r="G94" s="18"/>
    </row>
    <row r="95" spans="7:7" x14ac:dyDescent="0.35">
      <c r="G95" s="18"/>
    </row>
    <row r="96" spans="7:7" x14ac:dyDescent="0.35">
      <c r="G96" s="18"/>
    </row>
    <row r="97" spans="7:7" x14ac:dyDescent="0.35">
      <c r="G97" s="18"/>
    </row>
    <row r="98" spans="7:7" x14ac:dyDescent="0.35">
      <c r="G98" s="18"/>
    </row>
    <row r="99" spans="7:7" x14ac:dyDescent="0.35">
      <c r="G99" s="18"/>
    </row>
    <row r="100" spans="7:7" x14ac:dyDescent="0.35">
      <c r="G100" s="18"/>
    </row>
    <row r="101" spans="7:7" x14ac:dyDescent="0.35">
      <c r="G101" s="18"/>
    </row>
    <row r="102" spans="7:7" x14ac:dyDescent="0.35">
      <c r="G102" s="18"/>
    </row>
    <row r="103" spans="7:7" x14ac:dyDescent="0.35">
      <c r="G103" s="18"/>
    </row>
    <row r="104" spans="7:7" x14ac:dyDescent="0.35">
      <c r="G104" s="18"/>
    </row>
    <row r="105" spans="7:7" x14ac:dyDescent="0.35">
      <c r="G105" s="18"/>
    </row>
    <row r="106" spans="7:7" x14ac:dyDescent="0.35">
      <c r="G106" s="18"/>
    </row>
    <row r="107" spans="7:7" x14ac:dyDescent="0.35">
      <c r="G107" s="18"/>
    </row>
    <row r="108" spans="7:7" x14ac:dyDescent="0.35">
      <c r="G108" s="18"/>
    </row>
    <row r="109" spans="7:7" x14ac:dyDescent="0.35">
      <c r="G109" s="18"/>
    </row>
    <row r="110" spans="7:7" x14ac:dyDescent="0.35">
      <c r="G110" s="18"/>
    </row>
    <row r="111" spans="7:7" x14ac:dyDescent="0.35">
      <c r="G111" s="18"/>
    </row>
    <row r="112" spans="7:7" x14ac:dyDescent="0.35">
      <c r="G112" s="18"/>
    </row>
    <row r="113" spans="7:7" x14ac:dyDescent="0.35">
      <c r="G113" s="18"/>
    </row>
    <row r="114" spans="7:7" x14ac:dyDescent="0.35">
      <c r="G114" s="18"/>
    </row>
    <row r="115" spans="7:7" x14ac:dyDescent="0.35">
      <c r="G115" s="18"/>
    </row>
    <row r="116" spans="7:7" x14ac:dyDescent="0.35">
      <c r="G116" s="18"/>
    </row>
    <row r="117" spans="7:7" x14ac:dyDescent="0.35">
      <c r="G117" s="18"/>
    </row>
    <row r="118" spans="7:7" x14ac:dyDescent="0.35">
      <c r="G118" s="18"/>
    </row>
    <row r="119" spans="7:7" x14ac:dyDescent="0.35">
      <c r="G119" s="18"/>
    </row>
    <row r="120" spans="7:7" x14ac:dyDescent="0.35">
      <c r="G120" s="18"/>
    </row>
    <row r="121" spans="7:7" x14ac:dyDescent="0.35">
      <c r="G121" s="18"/>
    </row>
    <row r="122" spans="7:7" x14ac:dyDescent="0.35">
      <c r="G122" s="18"/>
    </row>
    <row r="123" spans="7:7" x14ac:dyDescent="0.35">
      <c r="G123" s="18"/>
    </row>
    <row r="124" spans="7:7" x14ac:dyDescent="0.35">
      <c r="G124" s="18"/>
    </row>
    <row r="125" spans="7:7" x14ac:dyDescent="0.35">
      <c r="G125" s="18"/>
    </row>
    <row r="126" spans="7:7" x14ac:dyDescent="0.35">
      <c r="G126" s="18"/>
    </row>
    <row r="127" spans="7:7" x14ac:dyDescent="0.35">
      <c r="G127" s="18"/>
    </row>
    <row r="128" spans="7:7" x14ac:dyDescent="0.35">
      <c r="G128" s="18"/>
    </row>
    <row r="129" spans="7:7" x14ac:dyDescent="0.35">
      <c r="G129" s="18"/>
    </row>
    <row r="130" spans="7:7" x14ac:dyDescent="0.35">
      <c r="G130" s="18"/>
    </row>
    <row r="131" spans="7:7" x14ac:dyDescent="0.35">
      <c r="G131" s="1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eregn">
                <anchor moveWithCells="1" sizeWithCells="1">
                  <from>
                    <xdr:col>4</xdr:col>
                    <xdr:colOff>0</xdr:colOff>
                    <xdr:row>8</xdr:row>
                    <xdr:rowOff>22860</xdr:rowOff>
                  </from>
                  <to>
                    <xdr:col>5</xdr:col>
                    <xdr:colOff>0</xdr:colOff>
                    <xdr:row>10</xdr:row>
                    <xdr:rowOff>45720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14:formula1>
            <xm:f>Diameter!$B$2:$B$12</xm:f>
          </x14:formula1>
          <xm:sqref>B4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B11"/>
  <sheetViews>
    <sheetView zoomScaleNormal="100" workbookViewId="0">
      <selection activeCell="A10" sqref="A10:XFD10"/>
    </sheetView>
  </sheetViews>
  <sheetFormatPr defaultRowHeight="14.4" x14ac:dyDescent="0.35"/>
  <cols>
    <col min="1" max="1" width="61.6640625" bestFit="1" customWidth="1"/>
    <col min="2" max="2" width="71.44140625" customWidth="1"/>
    <col min="3" max="3" width="10.44140625" bestFit="1" customWidth="1"/>
  </cols>
  <sheetData>
    <row r="1" spans="1:2" ht="22.8" thickBot="1" x14ac:dyDescent="0.5">
      <c r="A1" s="35" t="s">
        <v>55</v>
      </c>
    </row>
    <row r="2" spans="1:2" ht="87" thickBot="1" x14ac:dyDescent="0.4">
      <c r="A2" s="50" t="s">
        <v>48</v>
      </c>
      <c r="B2" s="49" t="s">
        <v>49</v>
      </c>
    </row>
    <row r="3" spans="1:2" ht="115.8" thickBot="1" x14ac:dyDescent="0.4">
      <c r="A3" s="50" t="s">
        <v>46</v>
      </c>
      <c r="B3" s="49" t="s">
        <v>50</v>
      </c>
    </row>
    <row r="4" spans="1:2" ht="43.2" x14ac:dyDescent="0.35">
      <c r="A4" s="51" t="s">
        <v>59</v>
      </c>
      <c r="B4" s="48" t="s">
        <v>56</v>
      </c>
    </row>
    <row r="5" spans="1:2" x14ac:dyDescent="0.35">
      <c r="A5" s="55" t="s">
        <v>51</v>
      </c>
      <c r="B5" s="56"/>
    </row>
    <row r="6" spans="1:2" ht="14.4" customHeight="1" x14ac:dyDescent="0.35">
      <c r="A6" s="52" t="s">
        <v>52</v>
      </c>
      <c r="B6" s="18">
        <v>80</v>
      </c>
    </row>
    <row r="7" spans="1:2" ht="15" thickBot="1" x14ac:dyDescent="0.4">
      <c r="A7" s="53" t="s">
        <v>25</v>
      </c>
      <c r="B7" s="54">
        <f>(25.4/B6)^6*1000</f>
        <v>1.0243830358127441</v>
      </c>
    </row>
    <row r="8" spans="1:2" ht="29.4" thickBot="1" x14ac:dyDescent="0.4">
      <c r="A8" s="50" t="s">
        <v>60</v>
      </c>
      <c r="B8" s="49" t="s">
        <v>53</v>
      </c>
    </row>
    <row r="9" spans="1:2" ht="43.8" thickBot="1" x14ac:dyDescent="0.4">
      <c r="A9" s="50" t="s">
        <v>61</v>
      </c>
      <c r="B9" s="49" t="s">
        <v>54</v>
      </c>
    </row>
    <row r="11" spans="1:2" ht="14.4" customHeight="1" x14ac:dyDescent="0.35"/>
  </sheetData>
  <mergeCells count="1">
    <mergeCell ref="A5:B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dimension ref="A1:B12"/>
  <sheetViews>
    <sheetView workbookViewId="0">
      <selection activeCell="E14" sqref="E14"/>
    </sheetView>
  </sheetViews>
  <sheetFormatPr defaultRowHeight="14.4" x14ac:dyDescent="0.35"/>
  <cols>
    <col min="1" max="1" width="13.33203125" bestFit="1" customWidth="1"/>
    <col min="2" max="2" width="13.6640625" bestFit="1" customWidth="1"/>
  </cols>
  <sheetData>
    <row r="1" spans="1:2" x14ac:dyDescent="0.35">
      <c r="A1" t="s">
        <v>58</v>
      </c>
      <c r="B1" t="s">
        <v>57</v>
      </c>
    </row>
    <row r="2" spans="1:2" x14ac:dyDescent="0.35">
      <c r="A2">
        <v>110</v>
      </c>
      <c r="B2">
        <v>102.4</v>
      </c>
    </row>
    <row r="3" spans="1:2" x14ac:dyDescent="0.35">
      <c r="A3">
        <v>160</v>
      </c>
      <c r="B3">
        <v>149</v>
      </c>
    </row>
    <row r="4" spans="1:2" x14ac:dyDescent="0.35">
      <c r="A4">
        <v>200</v>
      </c>
      <c r="B4">
        <v>188</v>
      </c>
    </row>
    <row r="5" spans="1:2" x14ac:dyDescent="0.35">
      <c r="A5">
        <v>250</v>
      </c>
      <c r="B5">
        <v>235</v>
      </c>
    </row>
    <row r="6" spans="1:2" x14ac:dyDescent="0.35">
      <c r="A6">
        <v>300</v>
      </c>
      <c r="B6">
        <v>278</v>
      </c>
    </row>
    <row r="7" spans="1:2" x14ac:dyDescent="0.35">
      <c r="A7">
        <v>315</v>
      </c>
      <c r="B7">
        <v>278</v>
      </c>
    </row>
    <row r="8" spans="1:2" x14ac:dyDescent="0.35">
      <c r="A8">
        <v>320</v>
      </c>
      <c r="B8">
        <v>278</v>
      </c>
    </row>
    <row r="9" spans="1:2" x14ac:dyDescent="0.35">
      <c r="A9">
        <v>400</v>
      </c>
      <c r="B9">
        <v>350</v>
      </c>
    </row>
    <row r="10" spans="1:2" x14ac:dyDescent="0.35">
      <c r="A10">
        <v>450</v>
      </c>
      <c r="B10">
        <v>396</v>
      </c>
    </row>
    <row r="11" spans="1:2" x14ac:dyDescent="0.35">
      <c r="A11">
        <v>500</v>
      </c>
      <c r="B11">
        <v>470.8</v>
      </c>
    </row>
    <row r="12" spans="1:2" x14ac:dyDescent="0.35">
      <c r="A12">
        <v>560</v>
      </c>
      <c r="B12">
        <v>497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3</vt:i4>
      </vt:variant>
      <vt:variant>
        <vt:lpstr>Navngivne områder</vt:lpstr>
      </vt:variant>
      <vt:variant>
        <vt:i4>6</vt:i4>
      </vt:variant>
    </vt:vector>
  </HeadingPairs>
  <TitlesOfParts>
    <vt:vector size="9" baseType="lpstr">
      <vt:lpstr>Hovedark</vt:lpstr>
      <vt:lpstr>Brugervejledning</vt:lpstr>
      <vt:lpstr>Diameter</vt:lpstr>
      <vt:lpstr>Hovedark!Areal</vt:lpstr>
      <vt:lpstr>Hovedark!Hastighed</vt:lpstr>
      <vt:lpstr>Hovedark!Højdetab</vt:lpstr>
      <vt:lpstr>Hovedark!Iterativ_forskel</vt:lpstr>
      <vt:lpstr>Hovedark!Tryk</vt:lpstr>
      <vt:lpstr>Hovedark!Trykcelle</vt:lpstr>
    </vt:vector>
  </TitlesOfParts>
  <Company>Silkeborg Forsyning 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 Nielsen</dc:creator>
  <cp:lastModifiedBy>Emil Nielsen</cp:lastModifiedBy>
  <dcterms:created xsi:type="dcterms:W3CDTF">2018-02-14T14:12:28Z</dcterms:created>
  <dcterms:modified xsi:type="dcterms:W3CDTF">2020-12-10T15:04:27Z</dcterms:modified>
</cp:coreProperties>
</file>